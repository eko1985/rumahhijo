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0" yWindow="560" windowWidth="19420" windowHeight="11020" activeTab="1"/>
  </bookViews>
  <sheets>
    <sheet name="1-COVER &amp; PANDUAN" sheetId="1" r:id="rId1"/>
    <sheet name="2-ICRA MASTER" sheetId="2" r:id="rId2"/>
    <sheet name="3-A a) Surveilans Infeks" sheetId="3" r:id="rId3"/>
    <sheet name="4-B b) Area Berisiko Tin" sheetId="4" r:id="rId4"/>
    <sheet name="5-C c) Peralatan Berisik" sheetId="5" r:id="rId5"/>
    <sheet name="6-D d) Prosedur  Tindak" sheetId="6" r:id="rId6"/>
    <sheet name="7-E e) Distribusi Linen " sheetId="7" r:id="rId7"/>
    <sheet name="8-F f) Pelayanan Sterili" sheetId="8" r:id="rId8"/>
    <sheet name="9-G g) Kebersihan Permuk" sheetId="9" r:id="rId9"/>
    <sheet name="10-H h) Pengelolaan Linen" sheetId="10" r:id="rId10"/>
    <sheet name="11-I i) Pengelolaan Sampa" sheetId="11" r:id="rId11"/>
    <sheet name="12-J j) Penyediaan Makana" sheetId="12" r:id="rId12"/>
    <sheet name="13-K k) Pengelolaan Kamar" sheetId="13" r:id="rId13"/>
    <sheet name="14-REKAP &amp; PRIORITAS" sheetId="14" r:id="rId1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4"/>
  <c r="H18"/>
  <c r="G18"/>
  <c r="F18"/>
  <c r="E18"/>
  <c r="I12" i="13"/>
  <c r="H12"/>
  <c r="H11"/>
  <c r="I11" s="1"/>
  <c r="H10"/>
  <c r="I10" s="1"/>
  <c r="H9"/>
  <c r="I9" s="1"/>
  <c r="H8"/>
  <c r="I8" s="1"/>
  <c r="H13" i="12"/>
  <c r="I13" s="1"/>
  <c r="H12"/>
  <c r="I12" s="1"/>
  <c r="H11"/>
  <c r="I11" s="1"/>
  <c r="H10"/>
  <c r="I10" s="1"/>
  <c r="H9"/>
  <c r="I9" s="1"/>
  <c r="H8"/>
  <c r="I8" s="1"/>
  <c r="H13" i="11"/>
  <c r="I13" s="1"/>
  <c r="H12"/>
  <c r="I12" s="1"/>
  <c r="H11"/>
  <c r="I11" s="1"/>
  <c r="H10"/>
  <c r="I10" s="1"/>
  <c r="H9"/>
  <c r="I9" s="1"/>
  <c r="H8"/>
  <c r="I8" s="1"/>
  <c r="H12" i="10"/>
  <c r="I12" s="1"/>
  <c r="H11"/>
  <c r="I11" s="1"/>
  <c r="H10"/>
  <c r="I10" s="1"/>
  <c r="H9"/>
  <c r="I9" s="1"/>
  <c r="H8"/>
  <c r="I8" s="1"/>
  <c r="H12" i="9"/>
  <c r="I12" s="1"/>
  <c r="H11"/>
  <c r="I11" s="1"/>
  <c r="H10"/>
  <c r="I10" s="1"/>
  <c r="H9"/>
  <c r="I9" s="1"/>
  <c r="H8"/>
  <c r="I8" s="1"/>
  <c r="H13" i="8"/>
  <c r="I13" s="1"/>
  <c r="H12"/>
  <c r="I12" s="1"/>
  <c r="H11"/>
  <c r="I11" s="1"/>
  <c r="H10"/>
  <c r="I10" s="1"/>
  <c r="H9"/>
  <c r="I9" s="1"/>
  <c r="H8"/>
  <c r="I8" s="1"/>
  <c r="H12" i="7"/>
  <c r="I12" s="1"/>
  <c r="H11"/>
  <c r="I11" s="1"/>
  <c r="H10"/>
  <c r="I10" s="1"/>
  <c r="H9"/>
  <c r="I9" s="1"/>
  <c r="H8"/>
  <c r="I8" s="1"/>
  <c r="H14" i="6"/>
  <c r="I14" s="1"/>
  <c r="H13"/>
  <c r="I13" s="1"/>
  <c r="H12"/>
  <c r="I12" s="1"/>
  <c r="H11"/>
  <c r="I11" s="1"/>
  <c r="H10"/>
  <c r="I10" s="1"/>
  <c r="H9"/>
  <c r="I9" s="1"/>
  <c r="H8"/>
  <c r="I8" s="1"/>
  <c r="H13" i="5"/>
  <c r="I13" s="1"/>
  <c r="H12"/>
  <c r="I12" s="1"/>
  <c r="H11"/>
  <c r="I11" s="1"/>
  <c r="H10"/>
  <c r="I10" s="1"/>
  <c r="H9"/>
  <c r="I9" s="1"/>
  <c r="H8"/>
  <c r="I8" s="1"/>
  <c r="H14" i="4"/>
  <c r="I14" s="1"/>
  <c r="H13"/>
  <c r="I13" s="1"/>
  <c r="H12"/>
  <c r="I12" s="1"/>
  <c r="H11"/>
  <c r="I11" s="1"/>
  <c r="H10"/>
  <c r="I10" s="1"/>
  <c r="H9"/>
  <c r="I9" s="1"/>
  <c r="H8"/>
  <c r="I8" s="1"/>
  <c r="H15" i="3"/>
  <c r="I15" s="1"/>
  <c r="H14"/>
  <c r="I14" s="1"/>
  <c r="H13"/>
  <c r="I13" s="1"/>
  <c r="H12"/>
  <c r="I12" s="1"/>
  <c r="H11"/>
  <c r="I11" s="1"/>
  <c r="H10"/>
  <c r="I10" s="1"/>
  <c r="H9"/>
  <c r="I9" s="1"/>
  <c r="H8"/>
  <c r="I8" s="1"/>
  <c r="J49" i="2"/>
  <c r="K49" s="1"/>
  <c r="J48"/>
  <c r="K48" s="1"/>
  <c r="J47"/>
  <c r="K47" s="1"/>
  <c r="J46"/>
  <c r="K46" s="1"/>
  <c r="J45"/>
  <c r="K45" s="1"/>
  <c r="J44"/>
  <c r="K44" s="1"/>
  <c r="J43"/>
  <c r="K43" s="1"/>
  <c r="J42"/>
  <c r="K42" s="1"/>
  <c r="J41"/>
  <c r="K41" s="1"/>
  <c r="J40"/>
  <c r="K40" s="1"/>
  <c r="J39"/>
  <c r="K39" s="1"/>
  <c r="J38"/>
  <c r="K38" s="1"/>
  <c r="J37"/>
  <c r="K37" s="1"/>
  <c r="J36"/>
  <c r="K36" s="1"/>
  <c r="K35"/>
  <c r="J35"/>
  <c r="J34"/>
  <c r="K34" s="1"/>
  <c r="J33"/>
  <c r="K33" s="1"/>
  <c r="J32"/>
  <c r="K32" s="1"/>
  <c r="J31"/>
  <c r="K31" s="1"/>
  <c r="J30"/>
  <c r="K30" s="1"/>
  <c r="J29"/>
  <c r="K29" s="1"/>
  <c r="J28"/>
  <c r="K28" s="1"/>
  <c r="J27"/>
  <c r="K27" s="1"/>
  <c r="J26"/>
  <c r="K26" s="1"/>
  <c r="J25"/>
  <c r="K25" s="1"/>
  <c r="J24"/>
  <c r="K24" s="1"/>
  <c r="J23"/>
  <c r="K23" s="1"/>
  <c r="J22"/>
  <c r="K22" s="1"/>
  <c r="J21"/>
  <c r="K21" s="1"/>
  <c r="J20"/>
  <c r="K20" s="1"/>
  <c r="J19"/>
  <c r="K19" s="1"/>
  <c r="J18"/>
  <c r="K18" s="1"/>
  <c r="J17"/>
  <c r="K17" s="1"/>
  <c r="J16"/>
  <c r="K16" s="1"/>
  <c r="J15"/>
  <c r="K15" s="1"/>
  <c r="J14"/>
  <c r="K14" s="1"/>
  <c r="J13"/>
  <c r="K13" s="1"/>
  <c r="J12"/>
  <c r="K12" s="1"/>
  <c r="J11"/>
  <c r="K11" s="1"/>
  <c r="J10"/>
  <c r="K10" s="1"/>
  <c r="J9"/>
  <c r="K9" s="1"/>
  <c r="J8"/>
  <c r="K8" s="1"/>
  <c r="J7"/>
  <c r="K7" s="1"/>
  <c r="J6"/>
  <c r="K6" s="1"/>
</calcChain>
</file>

<file path=xl/sharedStrings.xml><?xml version="1.0" encoding="utf-8"?>
<sst xmlns="http://schemas.openxmlformats.org/spreadsheetml/2006/main" count="1266" uniqueCount="437">
  <si>
    <t>PENGKAJIAN RISIKO INFEKSI / INFECTION CONTROL RISK ASSESSMENT (ICRA)</t>
  </si>
  <si>
    <t>Standar PPI 3 — Standar Akreditasi Kemenkes 2024  |  No. Dokumen: F-PPI-ICRA-001/2026</t>
  </si>
  <si>
    <t>No. Dokumen</t>
  </si>
  <si>
    <t>F-PPI-ICRA-001/2026</t>
  </si>
  <si>
    <t>Revisi</t>
  </si>
  <si>
    <t>01  |  April 2026</t>
  </si>
  <si>
    <t>Dibuat oleh</t>
  </si>
  <si>
    <t>Tim PPI / IPCN RS Bakti KARS</t>
  </si>
  <si>
    <t>Disahkan oleh</t>
  </si>
  <si>
    <t>Direktur RS Bakti KARS</t>
  </si>
  <si>
    <t>Tanggal pengkajian</t>
  </si>
  <si>
    <t>Periode berlaku</t>
  </si>
  <si>
    <t>Total area yang dikaji</t>
  </si>
  <si>
    <t>11 area sesuai PPI 3</t>
  </si>
  <si>
    <t>Total risiko teridentifikasi</t>
  </si>
  <si>
    <t>44 risiko dari 11 area PPI 3</t>
  </si>
  <si>
    <t>METODE PENGKAJIAN: PRIORITY RISK NUMBER (PRN)</t>
  </si>
  <si>
    <t>PRN  =  P  ×  I  ×  S</t>
  </si>
  <si>
    <t>P — Probability (Kemungkinan)</t>
  </si>
  <si>
    <t>Seberapa sering/besar kemungkinan risiko ini terjadi di RS Bakti KARS saat ini (1=sangat jarang, 5=sangat sering)</t>
  </si>
  <si>
    <t>I — Impact (Dampak/Severity)</t>
  </si>
  <si>
    <t>Seberapa berat dampak klinis, epidemiologis, dan reputasional jika risiko ini terjadi (1=tidak signifikan, 5=katastrofik)</t>
  </si>
  <si>
    <t>S — System (Kelemahan Sistem Pengendalian)</t>
  </si>
  <si>
    <t>Seberapa lemah sistem pengendalian yang saat ini ada: 5=tidak ada pengendalian sama sekali, 1=pengendalian sangat kuat dan dipantau ketat</t>
  </si>
  <si>
    <t>PRN = P × I × S</t>
  </si>
  <si>
    <t>Rentang: 1 (risiko terkecil) sampai 125 (risiko terbesar). Semakin tinggi PRN, semakin prioritas tindakan perbaikan.</t>
  </si>
  <si>
    <t>SKALA PENILAIAN</t>
  </si>
  <si>
    <t>Skor</t>
  </si>
  <si>
    <t>P — Kemungkinan</t>
  </si>
  <si>
    <t>I — Dampak</t>
  </si>
  <si>
    <t>S — Kelemahan Sistem
(1=Kuat → 5=Tidak Ada)</t>
  </si>
  <si>
    <t>Kategori PRN</t>
  </si>
  <si>
    <t>Rentang PRN</t>
  </si>
  <si>
    <t>Warna</t>
  </si>
  <si>
    <t>Sangat Jarang
(&lt; 1 kali/tahun)</t>
  </si>
  <si>
    <t>Tidak signifikan
(tidak ada dampak nyata)</t>
  </si>
  <si>
    <t>Pengendalian SANGAT KUAT:
bundle + audit + monitoring berkelanjutan</t>
  </si>
  <si>
    <t>SANGAT RENDAH</t>
  </si>
  <si>
    <t>1–14</t>
  </si>
  <si>
    <t>█</t>
  </si>
  <si>
    <t>Jarang
(1–2 kali/tahun)</t>
  </si>
  <si>
    <t>Minor
(dampak minimal, sembuh cepat)</t>
  </si>
  <si>
    <t>Pengendalian KUAT:
kebijakan + prosedur ada dan dijalankan</t>
  </si>
  <si>
    <t>RENDAH</t>
  </si>
  <si>
    <t>15–39</t>
  </si>
  <si>
    <t>Kadang
(3–5 kali/tahun)</t>
  </si>
  <si>
    <t>Moderat
(rawat lama, morbiditas nyata)</t>
  </si>
  <si>
    <t>Pengendalian SEDANG:
ada kebijakan tapi kepatuhan parsial</t>
  </si>
  <si>
    <t>SEDANG</t>
  </si>
  <si>
    <t>40–79</t>
  </si>
  <si>
    <t>Sering
(6–11 kali/tahun)</t>
  </si>
  <si>
    <t>Mayor
(komplikasi berat, rawat lama)</t>
  </si>
  <si>
    <t>Pengendalian LEMAH:
prosedur tidak lengkap atau jarang diterapkan</t>
  </si>
  <si>
    <t>TINGGI</t>
  </si>
  <si>
    <t>80–125</t>
  </si>
  <si>
    <t>Sangat Sering
(≥12 kali/tahun)</t>
  </si>
  <si>
    <t>Katastrofik
(kematian, KLB, tuntutan hukum)</t>
  </si>
  <si>
    <t>Tidak ada pengendalian sama sekali</t>
  </si>
  <si>
    <t>SANGAT TINGGI</t>
  </si>
  <si>
    <t>126–125*</t>
  </si>
  <si>
    <t>* Secara matematis PRN maks = 5×5×5 = 125. Kategori SANGAT TINGGI berlaku untuk PRN ≥ 80 dengan kombinasi I=5 atau P=5.</t>
  </si>
  <si>
    <t>TABEL KEPUTUSAN TINDAK LANJUT BERDASARKAN PRN</t>
  </si>
  <si>
    <t>Kategori</t>
  </si>
  <si>
    <t>Frekuensi
Monitoring</t>
  </si>
  <si>
    <t>Penanggung
Jawab</t>
  </si>
  <si>
    <t>Batas
Waktu</t>
  </si>
  <si>
    <t>Pelaporan</t>
  </si>
  <si>
    <t>Harian</t>
  </si>
  <si>
    <t>IPCN + Ketua Komite PPI + Direktur</t>
  </si>
  <si>
    <t>SEGERA (&lt;24 jam)</t>
  </si>
  <si>
    <t>Laporan SEGERA ke Direktur</t>
  </si>
  <si>
    <t>Mingguan</t>
  </si>
  <si>
    <t>IPCN + Ketua Komite PPI</t>
  </si>
  <si>
    <t>1 bulan</t>
  </si>
  <si>
    <t>Laporan bulanan Komite PPI</t>
  </si>
  <si>
    <t>20–39</t>
  </si>
  <si>
    <t>Bulanan</t>
  </si>
  <si>
    <t>IPCN</t>
  </si>
  <si>
    <t>3 bulan</t>
  </si>
  <si>
    <t>Laporan triwulanan PPI</t>
  </si>
  <si>
    <t>10–19</t>
  </si>
  <si>
    <t>Triwulanan</t>
  </si>
  <si>
    <t>6 bulan</t>
  </si>
  <si>
    <t>Laporan semester PPI</t>
  </si>
  <si>
    <t>1–9</t>
  </si>
  <si>
    <t>Tahunan</t>
  </si>
  <si>
    <t>1 tahun</t>
  </si>
  <si>
    <t>Laporan ICRA tahunan</t>
  </si>
  <si>
    <t>11 AREA PENGKAJIAN SESUAI STANDAR PPI 3</t>
  </si>
  <si>
    <t>A</t>
  </si>
  <si>
    <t>a) Surveilans Infeksi Epidemiologis Penting</t>
  </si>
  <si>
    <t>6 risiko teridentifikasi</t>
  </si>
  <si>
    <t>B</t>
  </si>
  <si>
    <t>b) Area Berisiko Tinggi Infeksi</t>
  </si>
  <si>
    <t>5 risiko teridentifikasi</t>
  </si>
  <si>
    <t>C</t>
  </si>
  <si>
    <t>c) Peralatan Berisiko Infeksi</t>
  </si>
  <si>
    <t>4 risiko teridentifikasi</t>
  </si>
  <si>
    <t>D</t>
  </si>
  <si>
    <t>d) Prosedur / Tindakan Berisiko Tinggi</t>
  </si>
  <si>
    <t>E</t>
  </si>
  <si>
    <t>e) Distribusi Linen Bersih &amp; Kotor</t>
  </si>
  <si>
    <t>3 risiko teridentifikasi</t>
  </si>
  <si>
    <t>F</t>
  </si>
  <si>
    <t>f) Pelayanan Sterilisasi Alat</t>
  </si>
  <si>
    <t>G</t>
  </si>
  <si>
    <t>g) Kebersihan Permukaan &amp; Lingkungan</t>
  </si>
  <si>
    <t>H</t>
  </si>
  <si>
    <t>h) Pengelolaan Linen / Laundri</t>
  </si>
  <si>
    <t>I</t>
  </si>
  <si>
    <t>i) Pengelolaan Sampah</t>
  </si>
  <si>
    <t>J</t>
  </si>
  <si>
    <t>j) Penyediaan Makanan</t>
  </si>
  <si>
    <t>K</t>
  </si>
  <si>
    <t>k) Pengelolaan Kamar Jenazah</t>
  </si>
  <si>
    <t>Standar PPI 3  |  Metode Priority Risk Number (PRN = P × I × S)  |  F-PPI-ICRA-001/2026</t>
  </si>
  <si>
    <t>No.</t>
  </si>
  <si>
    <t>Kode
Area</t>
  </si>
  <si>
    <t>Area PPI 3</t>
  </si>
  <si>
    <t>Jenis Risiko</t>
  </si>
  <si>
    <t>Deskripsi Risiko Infeksi</t>
  </si>
  <si>
    <t>P
(1-5)</t>
  </si>
  <si>
    <t>I
(1-5)</t>
  </si>
  <si>
    <t>S
(1-5)</t>
  </si>
  <si>
    <t>PRN
(P×I×S)</t>
  </si>
  <si>
    <t>Kategori
PRN</t>
  </si>
  <si>
    <t>Pengendalian yang Sudah Ada</t>
  </si>
  <si>
    <t>Rencana Perbaikan / Pengendalian Tambahan</t>
  </si>
  <si>
    <t>Penanggung Jawab</t>
  </si>
  <si>
    <t>Target Waktu
Penyelesaian</t>
  </si>
  <si>
    <t>Status
Tindak Lanjut</t>
  </si>
  <si>
    <t>1</t>
  </si>
  <si>
    <t>Infeksi Luka Operasi (ILO)</t>
  </si>
  <si>
    <t>Kontaminasi luka operasi oleh flora endogen pasien atau flora eksogen dari tim OK akibat persiapan pasien, teknik aseptik, atau manajemen lingkungan OK yang tidak optimal</t>
  </si>
  <si>
    <t>Bundle ILO (SCIP): antibiotik profilaksis, persiapan kulit, normotermia intraoperasi; surveilans ILO post-discharge 30 hari</t>
  </si>
  <si>
    <t>Tingkatkan kepatuhan bundle ILO, audit kepatuhan profilaksis antibiotik tiap triwulan, validasi surveilans ILO pasca-pulang</t>
  </si>
  <si>
    <t>IPCN + Komite Medis</t>
  </si>
  <si>
    <t>Belum dimulai</t>
  </si>
  <si>
    <t>2</t>
  </si>
  <si>
    <t>Infeksi Saluran Kemih terkait Kateter (CAUTI)</t>
  </si>
  <si>
    <t>Infeksi saluran kemih pada pasien dengan kateter urin menetap akibat insersi yang tidak aseptik, sistem drainase terbuka, atau perawatan kateter yang tidak benar</t>
  </si>
  <si>
    <t>Bundle CAUTI: indikasi ketat, teknik insersi aseptik, sistem closed drainage, pelepasan kateter sesegera mungkin, perawatan meatal harian</t>
  </si>
  <si>
    <t>Implementasi daily rounding CAUTI oleh IPCN; checklist insersi dan perawatan kateter terstandardisasi; rekam indikasi di RM setiap hari</t>
  </si>
  <si>
    <t>IPCN + Ka. Keperawatan</t>
  </si>
  <si>
    <t>3</t>
  </si>
  <si>
    <t>Infeksi Aliran Darah terkait CVC (IADPK/CLABSI)</t>
  </si>
  <si>
    <t>Infeksi bloodstream pada pasien dengan kateter vena sentral akibat kolonisasi hub, teknik insersi yang tidak maximal barrier precaution, atau perawatan dressing yang tidak adekuat</t>
  </si>
  <si>
    <t>Bundle CLABSI: hand hygiene, maximal barrier, CHG antiseptik, pilihan lokasi insersi, daily assessment, audit kepatuhan</t>
  </si>
  <si>
    <t>Implementasi daily checklist CLABSI di ICU; label dressing mencantumkan tanggal insersi; audit kepatuhan maximal barrier tiap insersi baru</t>
  </si>
  <si>
    <t>IPCN + Ka. ICU</t>
  </si>
  <si>
    <t>4</t>
  </si>
  <si>
    <t>Ventilator-Associated Pneumonia (VAP)</t>
  </si>
  <si>
    <t>Pneumonia yang terjadi ≥48 jam setelah intubasi dan pemasangan ventilator mekanik, akibat aspirasi sekret orofaring yang terkontaminasi atau kontaminasi sirkuit ventilator</t>
  </si>
  <si>
    <t>Bundle VAP: elevasi kepala 30–45°, oral hygiene CHG 2×/hari, sedation vacation harian, daily assessment ekstubasi, subglottis suctioning</t>
  </si>
  <si>
    <t>Audit kepatuhan bundle VAP mingguan oleh IPCN; checklist bundle di lembar observasi ICU; pelatihan bundle VAP untuk seluruh perawat ICU</t>
  </si>
  <si>
    <t>5</t>
  </si>
  <si>
    <t>HAP (Hospital-Acquired Pneumonia) non-ventilasi</t>
  </si>
  <si>
    <t>Pneumonia yang didapat ≥48 jam setelah rawat inap pada pasien tanpa ventilator, terkait dengan aspirasi, mobilisasi yang kurang, atau kontaminasi udara ruang rawat</t>
  </si>
  <si>
    <t>Mobilisasi dini, oral hygiene, elevasi kepala pasien risiko aspirasi, ventilasi ruangan memadai</t>
  </si>
  <si>
    <t>Implementasi protokol HAP non-ventilator di bangsal; edukasi keluarga tentang oral hygiene dan elevasi kepala; surveilans HAP perlu ditingkatkan</t>
  </si>
  <si>
    <t>IPCN + Ka. Rawat Inap</t>
  </si>
  <si>
    <t>6</t>
  </si>
  <si>
    <t>Resistensi antimikroba (MDR organisms — MRSA, ESBL, CRE)</t>
  </si>
  <si>
    <t>Transmisi organisme MDR antar pasien atau dari staf ke pasien akibat hand hygiene yang tidak patuh, isolasi yang tidak adekuat, atau penggunaan antibiotik yang tidak rasional di RS</t>
  </si>
  <si>
    <t>Kewaspadaan kontak untuk MDR, audit hand hygiene, program PPRA (Program Pengendalian Resistensi Antimikroba)</t>
  </si>
  <si>
    <t>Implementasi bundel isolasi MDR termasuk APD contact precaution; surveilans aktif MRSA di ICU; strengthening PPRA dengan audit antibiotik bulanan</t>
  </si>
  <si>
    <t>IPCN + Komite PPRA</t>
  </si>
  <si>
    <t>7</t>
  </si>
  <si>
    <t>ICU (Intensive Care Unit)</t>
  </si>
  <si>
    <t>Area dengan konsentrasi pasien immunocompromised terbesar, penggunaan prosedur invasif paling tinggi, dan lalu lintas staf paling padat — risiko silang infeksi dan HAIs sangat tinggi</t>
  </si>
  <si>
    <t>Kewaspadaan standar + transmisi, rasio perawat-pasien terstandarisasi, surveilans HAIs harian, bundle ICU</t>
  </si>
  <si>
    <t>Audit lingkungan ICU mingguan, review kepatuhan APD tiap shift, mapping alur lalu lintas untuk kurangi kontaminasi silang</t>
  </si>
  <si>
    <t>8</t>
  </si>
  <si>
    <t>Kamar Operasi (OK)</t>
  </si>
  <si>
    <t>Lingkungan steril yang rentan terhadap kontaminasi melalui udara (partikulat), traffic personil berlebih, teknik aseptik yang tidak ketat, atau permukaan yang tidak terdekontaminasi dengan benar antar kasus operasi</t>
  </si>
  <si>
    <t>Sistem ventilasi HEPA/laminar airflow, protokol traffic OK, teknik aseptik ketat, terminal cleaning antar operasi</t>
  </si>
  <si>
    <t>Audit kepatuhan traffic OK per shift; verifikasi berkala kualitas udara OK (monitoring partikulat); validasi prosedur terminal cleaning</t>
  </si>
  <si>
    <t>IPCN + Ka. OK</t>
  </si>
  <si>
    <t>9</t>
  </si>
  <si>
    <t>Unit Perinatologi / NICU</t>
  </si>
  <si>
    <t>Neonatus sangat rentan terhadap infeksi akibat imunitas yang belum matang. Risiko tinggi untuk sepsis neonatal, infeksi umbilikus, dan infeksi nosokomial dari tangan petugas</t>
  </si>
  <si>
    <t>Cuci tangan ketat sebelum menyentuh neonatus, teknik insersi aseptik, ASI eksklusif, isolasi neonatus infeksius</t>
  </si>
  <si>
    <t>Pemantauan hand hygiene compliance tiap shift di NICU; surveilans sepsis neonatal terpisah; protokol scrubbing sebelum masuk NICU</t>
  </si>
  <si>
    <t>IPCN + Ka. Perinatologi</t>
  </si>
  <si>
    <t>10</t>
  </si>
  <si>
    <t>Unit Hemodialisis</t>
  </si>
  <si>
    <t>Risiko infeksi bloodstream terkait akses vaskuler (AV fistula/kateter), kontaminasi mesin dialisis antar pasien, dan transmisi virus Hepatitis B/C antar pasien dialisis</t>
  </si>
  <si>
    <t>Pemrosesan mesin dialisis antar pasien, kohorting pasien HBsAg+, protokol akses vaskuler aseptik, surveilans infeksi HD</t>
  </si>
  <si>
    <t>Implementasi kohorting ketat pasien HBsAg+; audit desinfeksi mesin per sesi; program vaksinasi HB untuk staf HD</t>
  </si>
  <si>
    <t>IPCN + Ka. Hemodialisis</t>
  </si>
  <si>
    <t>11</t>
  </si>
  <si>
    <t>UGD / IGD</t>
  </si>
  <si>
    <t>Pintu masuk RS dengan volume pasien tinggi, beragam kondisi klinis, waktu tindakan cepat — risiko kewaspadaan standar terlewat, tidak sempat skrining infeksi menular</t>
  </si>
  <si>
    <t>Triase, kewaspadaan transmisi berdasarkan gejala, APD sesuai gejala, dekontaminasi cepat area tindakan</t>
  </si>
  <si>
    <t>Implementasi triase infeksi menular (tanda respirasi, ruam) di UGD; protokol cepat isolasi pasien suspek TB/COVID; surveilans hand hygiene petugas UGD</t>
  </si>
  <si>
    <t>IPCN + Ka. IGD</t>
  </si>
  <si>
    <t>12</t>
  </si>
  <si>
    <t>Endoskopi (gastroskopi, kolonoskopi, bronkoskopi)</t>
  </si>
  <si>
    <t>Risiko infeksi akibat reprocessing endoskopi yang tidak adekuat (pembersihan manual tidak lengkap sebelum HLD, kekeringan yang tidak sempurna, kontaminasi biofilm di lumen sempit)</t>
  </si>
  <si>
    <t>Manual cleaning + HLD (glutaraldehid/OPA), drying cabinet, log reprocessing per alat</t>
  </si>
  <si>
    <t>Audit proses reprocessing endoskopi triwulanan; validasi kualitas HLD (test strip konsentrasi); edukasi staf tentang pembersihan lumen sempit; pertimbangan AER</t>
  </si>
  <si>
    <t>IPCN + Ka. Endoskopi</t>
  </si>
  <si>
    <t>13</t>
  </si>
  <si>
    <t>Peralatan single-use yang dire-use</t>
  </si>
  <si>
    <t>Penggunaan ulang peralatan yang seharusnya sekali pakai (kateter, spuit, blade, dll.) meningkatkan risiko infeksi silang karena proses sterilisasi tidak dapat menjamin integritas alat</t>
  </si>
  <si>
    <t>Kebijakan larangan reuse, pengawasan pengadaan, edukasi staf</t>
  </si>
  <si>
    <t>Audit rutin kepatuhan no-reuse policy per unit; mekanisme pelaporan pelanggaran yang mudah; perhitungan cost-benefit pengadaan single-use</t>
  </si>
  <si>
    <t>IPCN + Ka. Pengadaan</t>
  </si>
  <si>
    <t>14</t>
  </si>
  <si>
    <t>Nebulizer dan peralatan terapi inhalasi</t>
  </si>
  <si>
    <t>Nebulizer yang tidak didesinfeksi dengan benar antar pasien dapat menjadi sumber infeksi Pseudomonas, Stenotrophomonas, dan jamur pada saluran napas pasien</t>
  </si>
  <si>
    <t>Desinfeksi nebulizer antar pasien (rebus/autoclave/HLD sesuai jenis), nebulizer personal per pasien</t>
  </si>
  <si>
    <t>Kebijakan one nebulizer per patient; log pembersihan nebulizer; audit kepatuhan desinfeksi di bangsal pernapasan</t>
  </si>
  <si>
    <t>15</t>
  </si>
  <si>
    <t>USG dan peralatan pencitraan portable</t>
  </si>
  <si>
    <t>Transducer USG yang digunakan pada prosedur invasif (USG-guided biopsi, insersi CVC) atau pada kulit tidak utuh tanpa desinfeksi yang tepat dapat mentransmisikan infeksi</t>
  </si>
  <si>
    <t>Pelindung transducer (sheath steril) untuk prosedur invasif, desinfeksi transducer antar pasien dengan desinfektan yang direkomendasikan (Sonex)</t>
  </si>
  <si>
    <t>Standarisasi prosedur desinfeksi transducer per jenis prosedur; pelatihan staf radiologi tentang level desinfeksi; audit kepatuhan</t>
  </si>
  <si>
    <t>IPCN + Ka. Radiologi</t>
  </si>
  <si>
    <t>16</t>
  </si>
  <si>
    <t>Insersi kateter vena sentral (CVC)</t>
  </si>
  <si>
    <t>Insersi CVC tanpa maximal sterile barrier precaution, pemilihan lokasi vena femoralis, atau antisepsi kulit yang tidak adekuat meningkatkan risiko CLABSI</t>
  </si>
  <si>
    <t>Maximal barrier precaution (gown steril, sarung tangan steril, masker, cap, draping besar), CHG antiseptik, pemilihan lokasi subklavia/jugularis</t>
  </si>
  <si>
    <t>Bundle insersi CVC tertulis, checklist real-time saat insersi, observer independen wajib saat insersi CVC di ICU, laporan setiap deviasi bundle</t>
  </si>
  <si>
    <t>IPCN + Ka. ICU + Komite Medis</t>
  </si>
  <si>
    <t>17</t>
  </si>
  <si>
    <t>Tindakan operatif dan invasif mayor</t>
  </si>
  <si>
    <t>Risiko infeksi luka operasi dari kontaminasi intraoperatif: teknik aseptik tidak ketat, penggunaan elektrokauter berlebihan merusak jaringan, irigasi luka yang tidak adekuat, profilaksis antibiotik terlambat</t>
  </si>
  <si>
    <t>Antibiotik profilaksis 30-60 menit sebelum insisi, draping steril, teknik minimal trauma, irigasi luka</t>
  </si>
  <si>
    <t>Audit waktu pemberian antibiotik profilaksis; implementasi surgical safety checklist WHO secara penuh; audit kepatuhan SCIP bundle</t>
  </si>
  <si>
    <t>IPCN + Ka. OK + Komite Medis</t>
  </si>
  <si>
    <t>18</t>
  </si>
  <si>
    <t>Pemasangan kateter urin (IUC)</t>
  </si>
  <si>
    <t>Insersi kateter urin dengan teknik tidak aseptik, kontaminasi konektor saat penyambungan drainase bag, atau catheter drainage bag yang terlalu penuh</t>
  </si>
  <si>
    <t>Teknik insersi aseptik, sistem closed drainage, pelepasan sesegera mungkin, edukasi staf dan keluarga</t>
  </si>
  <si>
    <t>Checklist indikasi dan insersi IUC; program nurse-driven removal protocol; laporan insiden kontaminasi drainase bag</t>
  </si>
  <si>
    <t>19</t>
  </si>
  <si>
    <t>Bronkoskopi dan tindakan saluran napas</t>
  </si>
  <si>
    <t>Bronkoskopi, intubasi, dan suctioning pada pasien dengan infeksi saluran napas tanpa APD yang memadai berisiko transmisi infeksi droplet/aerosol ke staf dan pasien lain</t>
  </si>
  <si>
    <t>APD level 2 (masker N95, goggle, gown, glove) untuk prosedur aerosol generating, reprocessing bronkoskop sesuai panduan</t>
  </si>
  <si>
    <t>Protokol penilaian risiko aerosol sebelum tindakan; penyediaan N95 yang cukup; audit reprocessing bronkoskop</t>
  </si>
  <si>
    <t>IPCN + Ka. Paru + Ka. Anestesi</t>
  </si>
  <si>
    <t>20</t>
  </si>
  <si>
    <t>Injeksi dan akses vaskuler perifer (infus)</t>
  </si>
  <si>
    <t>Pemasangan akses vaskuler perifer tanpa teknik aseptik yang benar, atau tidak dilakukan penggantian setelah 72-96 jam, menjadi pintu masuk infeksi lokal (phlebitis) dan sistemik</t>
  </si>
  <si>
    <t>Teknik insersi aseptik, fiksasi dan dressing steril, penggantian sesuai kebijakan, dokumentasi tanggal insersi</t>
  </si>
  <si>
    <t>Audit phlebitis score harian di semua bangsal; standardisasi dressing perifer; laporan insiden phlebitis grade ≥2</t>
  </si>
  <si>
    <t>21</t>
  </si>
  <si>
    <t>Pemisahan linen bersih dan kotor dalam transportasi</t>
  </si>
  <si>
    <t>Pencampuran linen bersih dan kotor dalam troli yang sama atau koridor yang sama berisiko kontaminasi linen bersih sebelum digunakan</t>
  </si>
  <si>
    <t>Troli terpisah (bersih vs kotor), jalur transportasi terpisah, wadah tertutup untuk linen kotor</t>
  </si>
  <si>
    <t>Audit pemisahan linen setiap bulan; penandaan troli yang jelas (warna berbeda); pelatihan ulang staf distribusi linen</t>
  </si>
  <si>
    <t>IPCN + Ka. Linen</t>
  </si>
  <si>
    <t>22</t>
  </si>
  <si>
    <t>Penyimpanan linen bersih di ruangan</t>
  </si>
  <si>
    <t>Linen bersih yang disimpan terlalu lama di ruangan, di dekat lantai, atau dalam lemari terbuka terekspos debu dan kontaminan lingkungan sebelum digunakan</t>
  </si>
  <si>
    <t>Lemari tertutup untuk linen bersih, rotasi FIFO, batas waktu simpan linen di unit</t>
  </si>
  <si>
    <t>Audit kondisi penyimpanan linen bersih per unit; standardisasi lemari linen tertutup; pelabelan tanggal distribusi</t>
  </si>
  <si>
    <t>23</t>
  </si>
  <si>
    <t>Penanganan linen infeksius (terkontaminasi darah/cairan tubuh)</t>
  </si>
  <si>
    <t>Linen yang terkontaminasi darah atau cairan tubuh tidak dibungkus dengan benar atau diangkut tanpa proteksi — berisiko menularkan patogen ke staf dan lingkungan</t>
  </si>
  <si>
    <t>Kantong plastik ganda untuk linen infeksius, penandaan biohazard, penggunaan APD staf linen</t>
  </si>
  <si>
    <t>Audit kepatuhan pembungkusan linen infeksius; ketersediaan kantong biohazard di setiap ruang rawat; pelatihan tahunan staf</t>
  </si>
  <si>
    <t>24</t>
  </si>
  <si>
    <t>Validasi proses sterilisasi (autoclave)</t>
  </si>
  <si>
    <t>Kegagalan proses sterilisasi akibat overloading chamber, kemasan yang tidak tepat, atau tidak dilakukan uji BI/CI secara konsisten</t>
  </si>
  <si>
    <t>Uji BI mingguan, CI per siklus, load control (Bowie-Dick), program kalibrasi autoclave</t>
  </si>
  <si>
    <t>Implementasi uji BI setiap hari Senin; dokumentasi siklus autoclave dengan rekam suhu/tekanan/waktu; audit kepatuhan kemasan alat</t>
  </si>
  <si>
    <t>IPCN + Ka. CSSD</t>
  </si>
  <si>
    <t>25</t>
  </si>
  <si>
    <t>Kualitas kemasan instrumen steril</t>
  </si>
  <si>
    <t>Kemasan yang bocor, lembab, sobek, atau kadaluarsa tidak memberikan jaminan sterilitas — alat yang dikemas ulang tanpa dicuci ulang berisiko kontaminasi</t>
  </si>
  <si>
    <t>Inspeksi kemasan sebelum digunakan, tanggal kadaluarsa, penyimpanan kering dan tertutup</t>
  </si>
  <si>
    <t>Pelatihan staf CSSD tentang inspeksi kemasan; audit integritas kemasan sampel bulanan; standardisasi jenis kemasan per alat</t>
  </si>
  <si>
    <t>26</t>
  </si>
  <si>
    <t>Penyimpanan instrumen steril pasca-sterilisasi</t>
  </si>
  <si>
    <t>Instrumen steril yang disimpan di lingkungan lembab, dekat ventilasi, atau bercampur dengan alat kotor kehilangan sterilitas sebelum digunakan</t>
  </si>
  <si>
    <t>Ruang penyimpanan steril terpisah, suhu dan kelembaban terkontrol, FIFO</t>
  </si>
  <si>
    <t>Audit kondisi ruang penyimpanan steril; monitoring suhu dan kelembaban harian; penandaan kadaluarsa pada kemasan</t>
  </si>
  <si>
    <t>27</t>
  </si>
  <si>
    <t>Pembersihan instrumen pra-sterilisasi</t>
  </si>
  <si>
    <t>Pembersihan manual yang tidak adekuat (bioburden tinggi tersisa) merupakan penyebab kegagalan sterilisasi paling sering — baik untuk autoclave maupun EO</t>
  </si>
  <si>
    <t>SPO pembersihan manual terstandarisasi, ultrasonic cleaner, penggunaan enzymatic cleaner, inspeksi visual</t>
  </si>
  <si>
    <t>Audit kepatuhan pembersihan pra-sterilisasi triwulanan; pelatihan CSSD tahunan; implementasi protein residue test (Inspect-R test)</t>
  </si>
  <si>
    <t>28</t>
  </si>
  <si>
    <t>Desinfeksi permukaan sentuh tinggi (high-touch surfaces)</t>
  </si>
  <si>
    <t>Permukaan yang sering disentuh (gagang pintu, rel tempat tidur, tombol nurse call, keyboard, pompa infus) yang tidak didesinfeksi secara konsisten menjadi reservoir patogen</t>
  </si>
  <si>
    <t>Program terminal cleaning dan ongoing cleaning, desinfektan yang tepat sesuai pathogen, monitoring ATP/culture lingkungan</t>
  </si>
  <si>
    <t>Audit kebersihan permukaan dengan ATP bioluminometer triwulanan; standardisasi daftar permukaan sentuh tinggi per unit; frekuensi pembersihan ditingkatkan di ICU</t>
  </si>
  <si>
    <t>IPCN + Ka. Sanitasi</t>
  </si>
  <si>
    <t>29</t>
  </si>
  <si>
    <t>Terminal cleaning kamar pasien (pasca-discharge/isolasi)</t>
  </si>
  <si>
    <t>Kamar pasien yang tidak di-terminal cleaning secara adekuat setelah pasien dengan infeksi menular (MDR, Clostridium difficile, MRSA) dapat mengontaminasi pasien berikutnya</t>
  </si>
  <si>
    <t>Protokol terminal cleaning terstandarisasi, daftar periksa terminal cleaning, penggunaan disinfektan yang tepat (sporisidal untuk C.diff)</t>
  </si>
  <si>
    <t>Validasi terminal cleaning dengan ATP atau UV-C check setelah kasus isolasi; audit dokumentasi terminal cleaning; pelatihan cleaning service tentang jenis disinfektan per patogen</t>
  </si>
  <si>
    <t>30</t>
  </si>
  <si>
    <t>Kualitas udara dan ventilasi</t>
  </si>
  <si>
    <t>Sistem ventilasi yang tidak memadai di ruang isolasi, OK, atau NICU meningkatkan risiko infeksi airborne (TB, aspergillosis) atau transmisi droplet</t>
  </si>
  <si>
    <t>Filter HEPA di OK dan NICU, tekanan negatif ruang isolasi airborne, pemantauan ACH (air changes per hour)</t>
  </si>
  <si>
    <t>Audit tekanan udara ruang isolasi dan OK triwulanan; pemeliharaan dan penggantian filter HEPA sesuai jadwal; pemantauan ACH ruang OK</t>
  </si>
  <si>
    <t>IPCN + Ka. IPSRS</t>
  </si>
  <si>
    <t>31</t>
  </si>
  <si>
    <t>Suhu pencucian linen yang tidak adekuat</t>
  </si>
  <si>
    <t>Pencucian linen infeksius pada suhu di bawah 70°C atau tanpa siklus desinfeksi kimia yang benar tidak membunuh patogen secara reliabel</t>
  </si>
  <si>
    <t>Suhu cuci ≥70°C selama ≥25 menit atau 60°C dengan detergen disinfektan, monitoring suhu mesin cuci</t>
  </si>
  <si>
    <t>Kalibrasi termometer mesin cuci bulanan; log suhu setiap siklus pencucian; audit kepatuhan siklus desinfeksi untuk linen infeksius</t>
  </si>
  <si>
    <t>IPCN + Ka. Laundri</t>
  </si>
  <si>
    <t>32</t>
  </si>
  <si>
    <t>Pemisahan area bersih dan kotor di laundri</t>
  </si>
  <si>
    <t>Kontaminasi silang antara area kotor (penerimaan, sortir) dan area bersih (pengeringan, lipat, penyimpanan) akibat desain fasilitas atau alur kerja yang tidak memisahkan keduanya</t>
  </si>
  <si>
    <t>Alur satu arah (dirty-to-clean), area fisik terpisah, APD staf di area kotor (gaun, masker, glove)</t>
  </si>
  <si>
    <t>Pemetaan alur kerja laundri; redesain alur jika masih terjadi persilangan; audit kepatuhan APD staf area kotor tiap bulan</t>
  </si>
  <si>
    <t>33</t>
  </si>
  <si>
    <t>Penanganan linen di tempat tidur pasien</t>
  </si>
  <si>
    <t>Mengibas-kibaskan linen kotor saat penggantian tempat tidur menyebarkan partikel dan patogen ke udara ruangan — risiko untuk pasien lain dan staf</t>
  </si>
  <si>
    <t>Pelatihan teknik bed-making tanpa mengibas, penggantian linen satu per satu, masker staf saat ganti linen infeksius</t>
  </si>
  <si>
    <t>Observasi langsung teknik bed-making di bangsal; reinforcement pelatihan untuk staf baru dan staf yang tidak patuh; audit kepatuhan</t>
  </si>
  <si>
    <t>34</t>
  </si>
  <si>
    <t>Pemilahan sampah medis dan non-medis</t>
  </si>
  <si>
    <t>Pencampuran sampah medis (infeksius) dengan sampah domestik atau sebaliknya meningkatkan volume limbah B3 secara tidak perlu atau berisiko menular</t>
  </si>
  <si>
    <t>Tempat sampah berkode warna (kuning=infeksius, hitam=domestik), label pada wadah, edukasi staf dan pasien</t>
  </si>
  <si>
    <t>Audit pemilahan sampah per unit mingguan; labeling ulang jika ada tempat sampah yang salah posisi; pelatihan staf baru tentang pemilahan</t>
  </si>
  <si>
    <t>35</t>
  </si>
  <si>
    <t>Penanganan limbah benda tajam (sharps)</t>
  </si>
  <si>
    <t>Needlestick injury pada staf atau pengunjung akibat pembuangan benda tajam yang tidak pada tempatnya (di lantai, di kantong plastik, di tempat sampah biasa)</t>
  </si>
  <si>
    <t>Safety container (sharps bin) ≤¾ penuh, tidak recap jarum dengan dua tangan, SPO disposal benda tajam</t>
  </si>
  <si>
    <t>Audit posisi dan kapasitas sharps container per unit harian; laporan segera setiap insiden needlestick; evaluasi penempatan sharps container di titik paling dekat tindakan</t>
  </si>
  <si>
    <t>IPCN + Tim K3RS</t>
  </si>
  <si>
    <t>36</t>
  </si>
  <si>
    <t>Penyimpanan sementara limbah B3 medis</t>
  </si>
  <si>
    <t>TPS B3 yang tidak terkunci, tidak berpendingin (untuk limbah infeksius), atau melebihi kapasitas penyimpanan (&gt;2 hari) berisiko tumpah, berbau, dan menarik vektor</t>
  </si>
  <si>
    <t>TPS B3 terkunci, berventilasi, bak tertutup, jadwal pengangkutan &lt;2×24 jam</t>
  </si>
  <si>
    <t>Audit kondisi TPS B3 mingguan; pastikan perjanjian pengangkutan limbah B3 dengan pihak ketiga berizin aktif; monitoring suhu TPS limbah infeksius</t>
  </si>
  <si>
    <t>37</t>
  </si>
  <si>
    <t>Limbah cair (IPAL dan darah/cairan tubuh)</t>
  </si>
  <si>
    <t>Limbah cair medis yang tidak melalui IPAL dengan benar atau pembuangan darah/cairan tubuh tanpa desinfeksi awal mencemari lingkungan dan berpotensi menularkan patogen</t>
  </si>
  <si>
    <t>IPAL beroperasi, outlet memenuhi baku mutu, SPO pembuangan darah/cairan tubuh dengan desinfektan</t>
  </si>
  <si>
    <t>Pemeriksaan kualitas efluen IPAL bulanan; audit kepatuhan penggunaan desinfektan sebelum pembuangan cairan tubuh; kalibrasi sensor IPAL</t>
  </si>
  <si>
    <t>38</t>
  </si>
  <si>
    <t>Keamanan pangan dan rantai dingin (cold chain)</t>
  </si>
  <si>
    <t>Bahan makanan yang terkontaminasi, disimpan pada suhu tidak aman, atau tidak dimasak hingga suhu aman dapat menyebabkan KLB gastroenteritis (Salmonella, E.coli, Staph aureus) di RS</t>
  </si>
  <si>
    <t>Suhu simpan bahan baku (4°C untuk produk segar), suhu masak ≥74°C, FIFO, pemantauan suhu kulkas harian</t>
  </si>
  <si>
    <t>Audit suhu kulkas gizi 2× sehari; implementasi HACCP secara penuh; uji usap alat masak dan tangan penjamah tiap 3 bulan</t>
  </si>
  <si>
    <t>IPCN + Ka. Gizi</t>
  </si>
  <si>
    <t>39</t>
  </si>
  <si>
    <t>Hygiene personal penjamah makanan</t>
  </si>
  <si>
    <t>Penjamah makanan dengan infeksi kulit, saluran napas, atau intestinal yang aktif, atau yang tidak mencuci tangan dengan benar dapat mengontaminasi makanan pasien</t>
  </si>
  <si>
    <t>Pemeriksaan kesehatan berkala penjamah, APD (masker, sarung tangan, cap), larangan bekerja saat sakit</t>
  </si>
  <si>
    <t>Pemeriksaan kesehatan penjamah 6 bulan sekali (kultur rektal, swab hidung); audit hand hygiene penjamah; kebijakan 'tidak masuk kerja saat sakit'</t>
  </si>
  <si>
    <t>40</t>
  </si>
  <si>
    <t>Kontaminasi silang di dapur</t>
  </si>
  <si>
    <t>Kontaminasi silang antara bahan mentah (terutama daging, unggas) dengan makanan matang melalui talenan, pisau, atau permukaan yang sama meningkatkan risiko kontaminasi patogen</t>
  </si>
  <si>
    <t>Peralatan masak terpisah (warna berbeda) per kategori bahan, desinfeksi permukaan setelah setiap kegiatan, alur bersih-kotor</t>
  </si>
  <si>
    <t>Audit pemisahan alat masak per kategori; uji usap permukaan dapur tiap 3 bulan; perbaikan desain alur jika terjadi persilangan bahan mentah-matang</t>
  </si>
  <si>
    <t>41</t>
  </si>
  <si>
    <t>Distribusi makanan ke pasien</t>
  </si>
  <si>
    <t>Makanan yang disiapkan jauh sebelum waktu makan, tidak ditutup, atau dibiarkan pada suhu ruangan &gt;2 jam dapat terkontaminasi dan menjadi media pertumbuhan bakteri</t>
  </si>
  <si>
    <t>Distribusi makanan dalam 30 menit setelah matang, wadah bertutup, pemantauan suhu makanan saat distribusi</t>
  </si>
  <si>
    <t>Monitoring suhu makanan saat distribusi ke bangsal; batas waktu distribusi maksimal ½ jam; audit kebersihan troli distribusi makanan harian</t>
  </si>
  <si>
    <t>42</t>
  </si>
  <si>
    <t>Penanganan jenazah dengan penyakit infeksi menular</t>
  </si>
  <si>
    <t>Jenazah pasien dengan penyakit menular (TB aktif, COVID-19, Hepatitis B/C, HIV) yang ditangani tanpa APD yang tepat berisiko menularkan patogen ke petugas jenazah dan keluarga</t>
  </si>
  <si>
    <t>APD lengkap (gaun, glove, masker N95/FFP2, goggles, sepatu boots) untuk jenazah infeksius; kantong jenazah tertutup rapat; labeling jenazah infeksius</t>
  </si>
  <si>
    <t>Protokol tertulis penanganan jenazah infeksius; pelatihan staf kamar jenazah tahunan; ketersediaan APD khusus di kamar jenazah</t>
  </si>
  <si>
    <t>IPCN + Ka. Kamar Jenazah</t>
  </si>
  <si>
    <t>43</t>
  </si>
  <si>
    <t>Kebersihan dan desinfeksi kamar jenazah</t>
  </si>
  <si>
    <t>Permukaan meja otopsi, lantai, dan peralatan kamar jenazah yang tidak didesinfeksi dengan benar setelah setiap penggunaan menjadi reservoir patogen</t>
  </si>
  <si>
    <t>Desinfeksi meja otopsi dan permukaan dengan disinfektan sporisidal setelah setiap penggunaan, APD staf kebersihan</t>
  </si>
  <si>
    <t>Audit terminal desinfeksi kamar jenazah setelah kasus infeksius; standar disinfektan yang digunakan; pelatihan staf kebersihan kamar jenazah</t>
  </si>
  <si>
    <t>44</t>
  </si>
  <si>
    <t>Pengelolaan limbah jenazah infeksius</t>
  </si>
  <si>
    <t>Kantong jenazah yang bocor, alat yang digunakan dalam otopsi tanpa desinfeksi, atau limbah cairan tubuh dari kamar jenazah yang tidak dikelola sebagai limbah B3 infeksius</t>
  </si>
  <si>
    <t>Kantong jenazah tebal berlapis ganda untuk infeksius, disposal alat autopsi sebagai limbah B3, SPO pembersihan cairan tubuh jenazah</t>
  </si>
  <si>
    <t>Inspeksi kantong jenazah sebelum digunakan; laporan setiap kebocoran kantong jenazah; koordinasi dengan Ka. Sanitasi untuk limbah dari kamar jenazah</t>
  </si>
  <si>
    <t>RS BAKTI KARS  —  ICRA PENGKAJIAN RISIKO INFEKSI — A) SURVEILANS INFEKSI EPIDEMIOLOGIS PENTING</t>
  </si>
  <si>
    <t>Standar PPI 3  |  Priority Risk Number (PRN = P × I × S)  |  F-PPI-ICRA-001/2026</t>
  </si>
  <si>
    <t>Periode Penilaian:</t>
  </si>
  <si>
    <t>IPCN / Penilai:</t>
  </si>
  <si>
    <t>Tanggal:</t>
  </si>
  <si>
    <t>Jenis Risiko
Infeksi</t>
  </si>
  <si>
    <t>Deskripsi Lengkap Risiko</t>
  </si>
  <si>
    <t>Target Waktu</t>
  </si>
  <si>
    <t>Status</t>
  </si>
  <si>
    <t>Dibuat oleh — Tim PPI / IPCN:</t>
  </si>
  <si>
    <t>Disahkan oleh — Direktur RS / Ketua Komite PPI:</t>
  </si>
  <si>
    <t>(__________________________________)</t>
  </si>
  <si>
    <t>RS BAKTI KARS  —  ICRA PENGKAJIAN RISIKO INFEKSI — B) AREA BERISIKO TINGGI INFEKSI</t>
  </si>
  <si>
    <t>RS BAKTI KARS  —  ICRA PENGKAJIAN RISIKO INFEKSI — C) PERALATAN BERISIKO INFEKSI</t>
  </si>
  <si>
    <t>RS BAKTI KARS  —  ICRA PENGKAJIAN RISIKO INFEKSI — D) PROSEDUR / TINDAKAN BERISIKO TINGGI</t>
  </si>
  <si>
    <t>RS BAKTI KARS  —  ICRA PENGKAJIAN RISIKO INFEKSI — E) DISTRIBUSI LINEN BERSIH &amp; KOTOR</t>
  </si>
  <si>
    <t>RS BAKTI KARS  —  ICRA PENGKAJIAN RISIKO INFEKSI — F) PELAYANAN STERILISASI ALAT</t>
  </si>
  <si>
    <t>RS BAKTI KARS  —  ICRA PENGKAJIAN RISIKO INFEKSI — G) KEBERSIHAN PERMUKAAN &amp; LINGKUNGAN</t>
  </si>
  <si>
    <t>RS BAKTI KARS  —  ICRA PENGKAJIAN RISIKO INFEKSI — H) PENGELOLAAN LINEN / LAUNDRI</t>
  </si>
  <si>
    <t>RS BAKTI KARS  —  ICRA PENGKAJIAN RISIKO INFEKSI — I) PENGELOLAAN SAMPAH</t>
  </si>
  <si>
    <t>RS BAKTI KARS  —  ICRA PENGKAJIAN RISIKO INFEKSI — J) PENYEDIAAN MAKANAN</t>
  </si>
  <si>
    <t>RS BAKTI KARS  —  ICRA PENGKAJIAN RISIKO INFEKSI — K) PENGELOLAAN KAMAR JENAZAH</t>
  </si>
  <si>
    <t>RS BAKTI KARS  —  REKAP ICRA DAN DAFTAR PRIORITAS RISIKO INFEKSI</t>
  </si>
  <si>
    <t>PPI 3  |  Priority Risk Number (PRN = P × I × S)  |  F-PPI-ICRA-001/2026</t>
  </si>
  <si>
    <t>REKAP JUMLAH RISIKO PER AREA DAN KATEGORI PRN</t>
  </si>
  <si>
    <t>Kode</t>
  </si>
  <si>
    <t>Jml
Risiko</t>
  </si>
  <si>
    <t>Sgt
Tinggi</t>
  </si>
  <si>
    <t>Tinggi</t>
  </si>
  <si>
    <t>Sedang</t>
  </si>
  <si>
    <t>Rendah</t>
  </si>
  <si>
    <t>Sgt
Rendah</t>
  </si>
  <si>
    <t>TOTAL</t>
  </si>
  <si>
    <t>SEMUA AREA</t>
  </si>
  <si>
    <t>TOP PRIORITAS — RISIKO INFEKSI TERTINGGI (PRN ≥ 40)</t>
  </si>
  <si>
    <t>Rank</t>
  </si>
  <si>
    <t>Jenis Risiko Infeksi</t>
  </si>
  <si>
    <t>Deskripsi Singkat</t>
  </si>
  <si>
    <t>P</t>
  </si>
  <si>
    <t>S</t>
  </si>
  <si>
    <t>PRN</t>
  </si>
  <si>
    <t>Needlestick injury pada staf atau pengunjung akibat pembuangan benda tajam yang tidak pada tempatnya...</t>
  </si>
  <si>
    <t>60</t>
  </si>
  <si>
    <t>Kontaminasi luka operasi oleh flora endogen pasien atau flora eksogen dari tim OK akibat persiapan p...</t>
  </si>
  <si>
    <t>48</t>
  </si>
  <si>
    <t>Pintu masuk RS dengan volume pasien tinggi, beragam kondisi klinis, waktu tindakan cepat — risiko ke...</t>
  </si>
  <si>
    <t>Permukaan yang sering disentuh (gagang pintu, rel tempat tidur, tombol nurse call, keyboard, pompa i...</t>
  </si>
  <si>
    <t>Pencampuran sampah medis (infeksius) dengan sampah domestik atau sebaliknya meningkatkan volume limb...</t>
  </si>
  <si>
    <t>Infeksi bloodstream pada pasien dengan kateter vena sentral akibat kolonisasi hub, teknik insersi ya...</t>
  </si>
  <si>
    <t>45</t>
  </si>
  <si>
    <t>Pneumonia yang terjadi ≥48 jam setelah intubasi dan pemasangan ventilator mekanik, akibat aspirasi s...</t>
  </si>
  <si>
    <t>Transmisi organisme MDR antar pasien atau dari staf ke pasien akibat hand hygiene yang tidak patuh, ...</t>
  </si>
  <si>
    <t>Neonatus sangat rentan terhadap infeksi akibat imunitas yang belum matang. Risiko tinggi untuk sepsi...</t>
  </si>
  <si>
    <t>Risiko infeksi akibat reprocessing endoskopi yang tidak adekuat (pembersihan manual tidak lengkap se...</t>
  </si>
  <si>
    <t>Pembersihan manual yang tidak adekuat (bioburden tinggi tersisa) merupakan penyebab kegagalan steril...</t>
  </si>
  <si>
    <t>Kamar pasien yang tidak di-terminal cleaning secara adekuat setelah pasien dengan infeksi menular (M...</t>
  </si>
  <si>
    <t>Area dengan konsentrasi pasien immunocompromised terbesar, penggunaan prosedur invasif paling tinggi...</t>
  </si>
  <si>
    <t>Penggunaan ulang peralatan yang seharusnya sekali pakai (kateter, spuit, blade, dll.) meningkatkan r...</t>
  </si>
  <si>
    <t>IPCN / Ketua Tim PPI:</t>
  </si>
  <si>
    <t>Direktur RS Bakti KARS:</t>
  </si>
  <si>
    <t>RS HIJO</t>
  </si>
  <si>
    <t>RS BAKTI HIJO  —  INFECTION CONTROL RISK ASSESSMENT (ICRA)  —  MASTER TABLE</t>
  </si>
</sst>
</file>

<file path=xl/styles.xml><?xml version="1.0" encoding="utf-8"?>
<styleSheet xmlns="http://schemas.openxmlformats.org/spreadsheetml/2006/main">
  <fonts count="48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444444"/>
      <name val="Arial"/>
      <family val="2"/>
    </font>
    <font>
      <b/>
      <sz val="9"/>
      <color rgb="FF6B2020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4"/>
      <color rgb="FF1B3A5C"/>
      <name val="Arial"/>
      <family val="2"/>
    </font>
    <font>
      <b/>
      <sz val="9"/>
      <color rgb="FF1B3A5C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27AE60"/>
      <name val="Arial"/>
      <family val="2"/>
    </font>
    <font>
      <b/>
      <sz val="14"/>
      <color rgb="FF27AE60"/>
      <name val="Arial"/>
      <family val="2"/>
    </font>
    <font>
      <b/>
      <sz val="9"/>
      <color rgb="FFF39C12"/>
      <name val="Arial"/>
      <family val="2"/>
    </font>
    <font>
      <b/>
      <sz val="14"/>
      <color rgb="FFF39C12"/>
      <name val="Arial"/>
      <family val="2"/>
    </font>
    <font>
      <b/>
      <sz val="9"/>
      <color rgb="FFE67E22"/>
      <name val="Arial"/>
      <family val="2"/>
    </font>
    <font>
      <b/>
      <sz val="14"/>
      <color rgb="FFE67E22"/>
      <name val="Arial"/>
      <family val="2"/>
    </font>
    <font>
      <b/>
      <sz val="9"/>
      <color rgb="FFC0392B"/>
      <name val="Arial"/>
      <family val="2"/>
    </font>
    <font>
      <b/>
      <sz val="14"/>
      <color rgb="FFC0392B"/>
      <name val="Arial"/>
      <family val="2"/>
    </font>
    <font>
      <b/>
      <sz val="9"/>
      <color rgb="FF8B0000"/>
      <name val="Arial"/>
      <family val="2"/>
    </font>
    <font>
      <b/>
      <sz val="14"/>
      <color rgb="FF8B0000"/>
      <name val="Arial"/>
      <family val="2"/>
    </font>
    <font>
      <i/>
      <sz val="8"/>
      <color rgb="FF666666"/>
      <name val="Arial"/>
      <family val="2"/>
    </font>
    <font>
      <sz val="9"/>
      <color rgb="FF8B0000"/>
      <name val="Arial"/>
      <family val="2"/>
    </font>
    <font>
      <sz val="9"/>
      <color rgb="FFC0392B"/>
      <name val="Arial"/>
      <family val="2"/>
    </font>
    <font>
      <sz val="9"/>
      <color rgb="FFE67E22"/>
      <name val="Arial"/>
      <family val="2"/>
    </font>
    <font>
      <sz val="9"/>
      <color rgb="FFF39C12"/>
      <name val="Arial"/>
      <family val="2"/>
    </font>
    <font>
      <sz val="9"/>
      <color rgb="FF27AE60"/>
      <name val="Arial"/>
      <family val="2"/>
    </font>
    <font>
      <b/>
      <sz val="9"/>
      <color rgb="FF154360"/>
      <name val="Arial"/>
      <family val="2"/>
    </font>
    <font>
      <b/>
      <sz val="9"/>
      <color rgb="FF186A3C"/>
      <name val="Arial"/>
      <family val="2"/>
    </font>
    <font>
      <b/>
      <sz val="9"/>
      <color rgb="FF6C3483"/>
      <name val="Arial"/>
      <family val="2"/>
    </font>
    <font>
      <b/>
      <sz val="9"/>
      <color rgb="FF922B21"/>
      <name val="Arial"/>
      <family val="2"/>
    </font>
    <font>
      <b/>
      <sz val="9"/>
      <color rgb="FF1A5276"/>
      <name val="Arial"/>
      <family val="2"/>
    </font>
    <font>
      <b/>
      <sz val="9"/>
      <color rgb="FF117A65"/>
      <name val="Arial"/>
      <family val="2"/>
    </font>
    <font>
      <b/>
      <sz val="9"/>
      <color rgb="FF7B241C"/>
      <name val="Arial"/>
      <family val="2"/>
    </font>
    <font>
      <b/>
      <sz val="9"/>
      <color rgb="FF0B5345"/>
      <name val="Arial"/>
      <family val="2"/>
    </font>
    <font>
      <b/>
      <sz val="9"/>
      <color rgb="FF4A235A"/>
      <name val="Arial"/>
      <family val="2"/>
    </font>
    <font>
      <b/>
      <sz val="9"/>
      <color rgb="FF1B4F72"/>
      <name val="Arial"/>
      <family val="2"/>
    </font>
    <font>
      <b/>
      <sz val="9"/>
      <color rgb="FF4D4D00"/>
      <name val="Arial"/>
      <family val="2"/>
    </font>
    <font>
      <b/>
      <sz val="12"/>
      <color rgb="FF6B202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1"/>
      <color rgb="FF6B202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C0392B"/>
      <name val="Arial"/>
      <family val="2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sz val="11"/>
      <color rgb="FF00B05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6B2020"/>
      </patternFill>
    </fill>
    <fill>
      <patternFill patternType="solid">
        <fgColor rgb="FFECEFF1"/>
      </patternFill>
    </fill>
    <fill>
      <patternFill patternType="solid">
        <fgColor rgb="FFFFFFFF"/>
      </patternFill>
    </fill>
    <fill>
      <patternFill patternType="solid">
        <fgColor rgb="FF1B3A5C"/>
      </patternFill>
    </fill>
    <fill>
      <patternFill patternType="solid">
        <fgColor rgb="FFE8F4FC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3E5F5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D0ECE7"/>
      </patternFill>
    </fill>
    <fill>
      <patternFill patternType="solid">
        <fgColor rgb="FFA9DFBF"/>
      </patternFill>
    </fill>
    <fill>
      <patternFill patternType="solid">
        <fgColor rgb="FFE8DAEF"/>
      </patternFill>
    </fill>
    <fill>
      <patternFill patternType="solid">
        <fgColor rgb="FFF7F9A0"/>
      </patternFill>
    </fill>
    <fill>
      <patternFill patternType="solid">
        <fgColor rgb="FF154360"/>
      </patternFill>
    </fill>
    <fill>
      <patternFill patternType="solid">
        <fgColor rgb="FF186A3C"/>
      </patternFill>
    </fill>
    <fill>
      <patternFill patternType="solid">
        <fgColor rgb="FF6C3483"/>
      </patternFill>
    </fill>
    <fill>
      <patternFill patternType="solid">
        <fgColor rgb="FF922B21"/>
      </patternFill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7B241C"/>
      </patternFill>
    </fill>
    <fill>
      <patternFill patternType="solid">
        <fgColor rgb="FF0B5345"/>
      </patternFill>
    </fill>
    <fill>
      <patternFill patternType="solid">
        <fgColor rgb="FF4A235A"/>
      </patternFill>
    </fill>
    <fill>
      <patternFill patternType="solid">
        <fgColor rgb="FF1B4F72"/>
      </patternFill>
    </fill>
    <fill>
      <patternFill patternType="solid">
        <fgColor rgb="FF4D4D00"/>
      </patternFill>
    </fill>
    <fill>
      <patternFill patternType="solid">
        <fgColor rgb="FF8B0000"/>
      </patternFill>
    </fill>
    <fill>
      <patternFill patternType="solid">
        <fgColor rgb="FF00B050"/>
        <bgColor indexed="64"/>
      </patternFill>
    </fill>
  </fills>
  <borders count="11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6B2020"/>
      </left>
      <right style="thin">
        <color rgb="FFBBBBBB"/>
      </right>
      <top style="medium">
        <color rgb="FF6B202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6B2020"/>
      </top>
      <bottom style="thin">
        <color rgb="FFBBBBBB"/>
      </bottom>
      <diagonal/>
    </border>
    <border>
      <left style="thin">
        <color rgb="FFBBBBBB"/>
      </left>
      <right style="medium">
        <color rgb="FF6B2020"/>
      </right>
      <top style="medium">
        <color rgb="FF6B2020"/>
      </top>
      <bottom style="thin">
        <color rgb="FFBBBBBB"/>
      </bottom>
      <diagonal/>
    </border>
    <border>
      <left style="medium">
        <color rgb="FF6B202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6B2020"/>
      </right>
      <top style="thin">
        <color rgb="FFBBBBBB"/>
      </top>
      <bottom style="thin">
        <color rgb="FFBBBBBB"/>
      </bottom>
      <diagonal/>
    </border>
    <border>
      <left style="medium">
        <color rgb="FF6B2020"/>
      </left>
      <right style="thin">
        <color rgb="FFBBBBBB"/>
      </right>
      <top style="thin">
        <color rgb="FFBBBBBB"/>
      </top>
      <bottom style="medium">
        <color rgb="FF6B202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6B2020"/>
      </bottom>
      <diagonal/>
    </border>
    <border>
      <left style="thin">
        <color rgb="FFBBBBBB"/>
      </left>
      <right style="medium">
        <color rgb="FF6B2020"/>
      </right>
      <top style="thin">
        <color rgb="FFBBBBBB"/>
      </top>
      <bottom style="medium">
        <color rgb="FF6B2020"/>
      </bottom>
      <diagonal/>
    </border>
    <border>
      <left style="medium">
        <color rgb="FF1B3A5C"/>
      </left>
      <right style="thin">
        <color rgb="FFBBBBBB"/>
      </right>
      <top style="medium">
        <color rgb="FF1B3A5C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1B3A5C"/>
      </top>
      <bottom style="thin">
        <color rgb="FFBBBBBB"/>
      </bottom>
      <diagonal/>
    </border>
    <border>
      <left style="thin">
        <color rgb="FFBBBBBB"/>
      </left>
      <right style="medium">
        <color rgb="FF1B3A5C"/>
      </right>
      <top style="medium">
        <color rgb="FF1B3A5C"/>
      </top>
      <bottom style="thin">
        <color rgb="FFBBBBBB"/>
      </bottom>
      <diagonal/>
    </border>
    <border>
      <left style="medium">
        <color rgb="FF1B3A5C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1B3A5C"/>
      </right>
      <top style="thin">
        <color rgb="FFBBBBBB"/>
      </top>
      <bottom style="thin">
        <color rgb="FFBBBBBB"/>
      </bottom>
      <diagonal/>
    </border>
    <border>
      <left style="medium">
        <color rgb="FF1B3A5C"/>
      </left>
      <right style="thin">
        <color rgb="FFBBBBBB"/>
      </right>
      <top style="thin">
        <color rgb="FFBBBBBB"/>
      </top>
      <bottom style="medium">
        <color rgb="FF1B3A5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1B3A5C"/>
      </bottom>
      <diagonal/>
    </border>
    <border>
      <left style="thin">
        <color rgb="FFBBBBBB"/>
      </left>
      <right style="medium">
        <color rgb="FF1B3A5C"/>
      </right>
      <top style="thin">
        <color rgb="FFBBBBBB"/>
      </top>
      <bottom style="medium">
        <color rgb="FF1B3A5C"/>
      </bottom>
      <diagonal/>
    </border>
    <border>
      <left style="medium">
        <color rgb="FF6B2020"/>
      </left>
      <right style="thin">
        <color rgb="FFBBBBBB"/>
      </right>
      <top style="medium">
        <color rgb="FF6B2020"/>
      </top>
      <bottom style="medium">
        <color rgb="FF6B2020"/>
      </bottom>
      <diagonal/>
    </border>
    <border>
      <left style="thin">
        <color rgb="FFBBBBBB"/>
      </left>
      <right style="thin">
        <color rgb="FFBBBBBB"/>
      </right>
      <top style="medium">
        <color rgb="FF6B2020"/>
      </top>
      <bottom style="medium">
        <color rgb="FF6B2020"/>
      </bottom>
      <diagonal/>
    </border>
    <border>
      <left style="thin">
        <color rgb="FFBBBBBB"/>
      </left>
      <right style="medium">
        <color rgb="FF6B2020"/>
      </right>
      <top style="medium">
        <color rgb="FF6B2020"/>
      </top>
      <bottom style="medium">
        <color rgb="FF6B2020"/>
      </bottom>
      <diagonal/>
    </border>
    <border>
      <left style="medium">
        <color rgb="FF154360"/>
      </left>
      <right style="thin">
        <color rgb="FFBBBBBB"/>
      </right>
      <top style="medium">
        <color rgb="FF15436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154360"/>
      </top>
      <bottom style="thin">
        <color rgb="FFBBBBBB"/>
      </bottom>
      <diagonal/>
    </border>
    <border>
      <left style="thin">
        <color rgb="FFBBBBBB"/>
      </left>
      <right style="medium">
        <color rgb="FF154360"/>
      </right>
      <top style="medium">
        <color rgb="FF154360"/>
      </top>
      <bottom style="thin">
        <color rgb="FFBBBBBB"/>
      </bottom>
      <diagonal/>
    </border>
    <border>
      <left style="medium">
        <color rgb="FF15436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154360"/>
      </right>
      <top style="thin">
        <color rgb="FFBBBBBB"/>
      </top>
      <bottom style="thin">
        <color rgb="FFBBBBBB"/>
      </bottom>
      <diagonal/>
    </border>
    <border>
      <left style="medium">
        <color rgb="FF154360"/>
      </left>
      <right style="thin">
        <color rgb="FFBBBBBB"/>
      </right>
      <top style="thin">
        <color rgb="FFBBBBBB"/>
      </top>
      <bottom style="medium">
        <color rgb="FF15436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154360"/>
      </bottom>
      <diagonal/>
    </border>
    <border>
      <left style="thin">
        <color rgb="FFBBBBBB"/>
      </left>
      <right style="medium">
        <color rgb="FF154360"/>
      </right>
      <top style="thin">
        <color rgb="FFBBBBBB"/>
      </top>
      <bottom style="medium">
        <color rgb="FF154360"/>
      </bottom>
      <diagonal/>
    </border>
    <border>
      <left style="medium">
        <color rgb="FF186A3C"/>
      </left>
      <right style="thin">
        <color rgb="FFBBBBBB"/>
      </right>
      <top style="medium">
        <color rgb="FF186A3C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186A3C"/>
      </top>
      <bottom style="thin">
        <color rgb="FFBBBBBB"/>
      </bottom>
      <diagonal/>
    </border>
    <border>
      <left style="thin">
        <color rgb="FFBBBBBB"/>
      </left>
      <right style="medium">
        <color rgb="FF186A3C"/>
      </right>
      <top style="medium">
        <color rgb="FF186A3C"/>
      </top>
      <bottom style="thin">
        <color rgb="FFBBBBBB"/>
      </bottom>
      <diagonal/>
    </border>
    <border>
      <left style="medium">
        <color rgb="FF186A3C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186A3C"/>
      </right>
      <top style="thin">
        <color rgb="FFBBBBBB"/>
      </top>
      <bottom style="thin">
        <color rgb="FFBBBBBB"/>
      </bottom>
      <diagonal/>
    </border>
    <border>
      <left style="medium">
        <color rgb="FF186A3C"/>
      </left>
      <right style="thin">
        <color rgb="FFBBBBBB"/>
      </right>
      <top style="thin">
        <color rgb="FFBBBBBB"/>
      </top>
      <bottom style="medium">
        <color rgb="FF186A3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186A3C"/>
      </bottom>
      <diagonal/>
    </border>
    <border>
      <left style="thin">
        <color rgb="FFBBBBBB"/>
      </left>
      <right style="medium">
        <color rgb="FF186A3C"/>
      </right>
      <top style="thin">
        <color rgb="FFBBBBBB"/>
      </top>
      <bottom style="medium">
        <color rgb="FF186A3C"/>
      </bottom>
      <diagonal/>
    </border>
    <border>
      <left style="medium">
        <color rgb="FF6C3483"/>
      </left>
      <right style="thin">
        <color rgb="FFBBBBBB"/>
      </right>
      <top style="medium">
        <color rgb="FF6C3483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6C3483"/>
      </top>
      <bottom style="thin">
        <color rgb="FFBBBBBB"/>
      </bottom>
      <diagonal/>
    </border>
    <border>
      <left style="thin">
        <color rgb="FFBBBBBB"/>
      </left>
      <right style="medium">
        <color rgb="FF6C3483"/>
      </right>
      <top style="medium">
        <color rgb="FF6C3483"/>
      </top>
      <bottom style="thin">
        <color rgb="FFBBBBBB"/>
      </bottom>
      <diagonal/>
    </border>
    <border>
      <left style="medium">
        <color rgb="FF6C3483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6C3483"/>
      </right>
      <top style="thin">
        <color rgb="FFBBBBBB"/>
      </top>
      <bottom style="thin">
        <color rgb="FFBBBBBB"/>
      </bottom>
      <diagonal/>
    </border>
    <border>
      <left style="medium">
        <color rgb="FF6C3483"/>
      </left>
      <right style="thin">
        <color rgb="FFBBBBBB"/>
      </right>
      <top style="thin">
        <color rgb="FFBBBBBB"/>
      </top>
      <bottom style="medium">
        <color rgb="FF6C348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6C3483"/>
      </bottom>
      <diagonal/>
    </border>
    <border>
      <left style="thin">
        <color rgb="FFBBBBBB"/>
      </left>
      <right style="medium">
        <color rgb="FF6C3483"/>
      </right>
      <top style="thin">
        <color rgb="FFBBBBBB"/>
      </top>
      <bottom style="medium">
        <color rgb="FF6C3483"/>
      </bottom>
      <diagonal/>
    </border>
    <border>
      <left style="medium">
        <color rgb="FF922B21"/>
      </left>
      <right style="thin">
        <color rgb="FFBBBBBB"/>
      </right>
      <top style="medium">
        <color rgb="FF922B21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922B21"/>
      </top>
      <bottom style="thin">
        <color rgb="FFBBBBBB"/>
      </bottom>
      <diagonal/>
    </border>
    <border>
      <left style="thin">
        <color rgb="FFBBBBBB"/>
      </left>
      <right style="medium">
        <color rgb="FF922B21"/>
      </right>
      <top style="medium">
        <color rgb="FF922B21"/>
      </top>
      <bottom style="thin">
        <color rgb="FFBBBBBB"/>
      </bottom>
      <diagonal/>
    </border>
    <border>
      <left style="medium">
        <color rgb="FF922B21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922B21"/>
      </right>
      <top style="thin">
        <color rgb="FFBBBBBB"/>
      </top>
      <bottom style="thin">
        <color rgb="FFBBBBBB"/>
      </bottom>
      <diagonal/>
    </border>
    <border>
      <left style="medium">
        <color rgb="FF922B21"/>
      </left>
      <right style="thin">
        <color rgb="FFBBBBBB"/>
      </right>
      <top style="thin">
        <color rgb="FFBBBBBB"/>
      </top>
      <bottom style="medium">
        <color rgb="FF922B2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922B21"/>
      </bottom>
      <diagonal/>
    </border>
    <border>
      <left style="thin">
        <color rgb="FFBBBBBB"/>
      </left>
      <right style="medium">
        <color rgb="FF922B21"/>
      </right>
      <top style="thin">
        <color rgb="FFBBBBBB"/>
      </top>
      <bottom style="medium">
        <color rgb="FF922B21"/>
      </bottom>
      <diagonal/>
    </border>
    <border>
      <left style="medium">
        <color rgb="FF1A5276"/>
      </left>
      <right style="thin">
        <color rgb="FFBBBBBB"/>
      </right>
      <top style="medium">
        <color rgb="FF1A5276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1A5276"/>
      </top>
      <bottom style="thin">
        <color rgb="FFBBBBBB"/>
      </bottom>
      <diagonal/>
    </border>
    <border>
      <left style="thin">
        <color rgb="FFBBBBBB"/>
      </left>
      <right style="medium">
        <color rgb="FF1A5276"/>
      </right>
      <top style="medium">
        <color rgb="FF1A5276"/>
      </top>
      <bottom style="thin">
        <color rgb="FFBBBBBB"/>
      </bottom>
      <diagonal/>
    </border>
    <border>
      <left style="medium">
        <color rgb="FF1A5276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1A5276"/>
      </right>
      <top style="thin">
        <color rgb="FFBBBBBB"/>
      </top>
      <bottom style="thin">
        <color rgb="FFBBBBBB"/>
      </bottom>
      <diagonal/>
    </border>
    <border>
      <left style="medium">
        <color rgb="FF1A5276"/>
      </left>
      <right style="thin">
        <color rgb="FFBBBBBB"/>
      </right>
      <top style="thin">
        <color rgb="FFBBBBBB"/>
      </top>
      <bottom style="medium">
        <color rgb="FF1A527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1A5276"/>
      </bottom>
      <diagonal/>
    </border>
    <border>
      <left style="thin">
        <color rgb="FFBBBBBB"/>
      </left>
      <right style="medium">
        <color rgb="FF1A5276"/>
      </right>
      <top style="thin">
        <color rgb="FFBBBBBB"/>
      </top>
      <bottom style="medium">
        <color rgb="FF1A5276"/>
      </bottom>
      <diagonal/>
    </border>
    <border>
      <left style="medium">
        <color rgb="FF117A65"/>
      </left>
      <right style="thin">
        <color rgb="FFBBBBBB"/>
      </right>
      <top style="medium">
        <color rgb="FF117A65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117A65"/>
      </top>
      <bottom style="thin">
        <color rgb="FFBBBBBB"/>
      </bottom>
      <diagonal/>
    </border>
    <border>
      <left style="thin">
        <color rgb="FFBBBBBB"/>
      </left>
      <right style="medium">
        <color rgb="FF117A65"/>
      </right>
      <top style="medium">
        <color rgb="FF117A65"/>
      </top>
      <bottom style="thin">
        <color rgb="FFBBBBBB"/>
      </bottom>
      <diagonal/>
    </border>
    <border>
      <left style="medium">
        <color rgb="FF117A65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117A65"/>
      </right>
      <top style="thin">
        <color rgb="FFBBBBBB"/>
      </top>
      <bottom style="thin">
        <color rgb="FFBBBBBB"/>
      </bottom>
      <diagonal/>
    </border>
    <border>
      <left style="medium">
        <color rgb="FF117A65"/>
      </left>
      <right style="thin">
        <color rgb="FFBBBBBB"/>
      </right>
      <top style="thin">
        <color rgb="FFBBBBBB"/>
      </top>
      <bottom style="medium">
        <color rgb="FF117A65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117A65"/>
      </bottom>
      <diagonal/>
    </border>
    <border>
      <left style="thin">
        <color rgb="FFBBBBBB"/>
      </left>
      <right style="medium">
        <color rgb="FF117A65"/>
      </right>
      <top style="thin">
        <color rgb="FFBBBBBB"/>
      </top>
      <bottom style="medium">
        <color rgb="FF117A65"/>
      </bottom>
      <diagonal/>
    </border>
    <border>
      <left style="medium">
        <color rgb="FF7B241C"/>
      </left>
      <right style="thin">
        <color rgb="FFBBBBBB"/>
      </right>
      <top style="medium">
        <color rgb="FF7B241C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7B241C"/>
      </top>
      <bottom style="thin">
        <color rgb="FFBBBBBB"/>
      </bottom>
      <diagonal/>
    </border>
    <border>
      <left style="thin">
        <color rgb="FFBBBBBB"/>
      </left>
      <right style="medium">
        <color rgb="FF7B241C"/>
      </right>
      <top style="medium">
        <color rgb="FF7B241C"/>
      </top>
      <bottom style="thin">
        <color rgb="FFBBBBBB"/>
      </bottom>
      <diagonal/>
    </border>
    <border>
      <left style="medium">
        <color rgb="FF7B241C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7B241C"/>
      </right>
      <top style="thin">
        <color rgb="FFBBBBBB"/>
      </top>
      <bottom style="thin">
        <color rgb="FFBBBBBB"/>
      </bottom>
      <diagonal/>
    </border>
    <border>
      <left style="medium">
        <color rgb="FF7B241C"/>
      </left>
      <right style="thin">
        <color rgb="FFBBBBBB"/>
      </right>
      <top style="thin">
        <color rgb="FFBBBBBB"/>
      </top>
      <bottom style="medium">
        <color rgb="FF7B241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7B241C"/>
      </bottom>
      <diagonal/>
    </border>
    <border>
      <left style="thin">
        <color rgb="FFBBBBBB"/>
      </left>
      <right style="medium">
        <color rgb="FF7B241C"/>
      </right>
      <top style="thin">
        <color rgb="FFBBBBBB"/>
      </top>
      <bottom style="medium">
        <color rgb="FF7B241C"/>
      </bottom>
      <diagonal/>
    </border>
    <border>
      <left style="medium">
        <color rgb="FF0B5345"/>
      </left>
      <right style="thin">
        <color rgb="FFBBBBBB"/>
      </right>
      <top style="medium">
        <color rgb="FF0B5345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0B5345"/>
      </top>
      <bottom style="thin">
        <color rgb="FFBBBBBB"/>
      </bottom>
      <diagonal/>
    </border>
    <border>
      <left style="thin">
        <color rgb="FFBBBBBB"/>
      </left>
      <right style="medium">
        <color rgb="FF0B5345"/>
      </right>
      <top style="medium">
        <color rgb="FF0B5345"/>
      </top>
      <bottom style="thin">
        <color rgb="FFBBBBBB"/>
      </bottom>
      <diagonal/>
    </border>
    <border>
      <left style="medium">
        <color rgb="FF0B5345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0B5345"/>
      </right>
      <top style="thin">
        <color rgb="FFBBBBBB"/>
      </top>
      <bottom style="thin">
        <color rgb="FFBBBBBB"/>
      </bottom>
      <diagonal/>
    </border>
    <border>
      <left style="medium">
        <color rgb="FF0B5345"/>
      </left>
      <right style="thin">
        <color rgb="FFBBBBBB"/>
      </right>
      <top style="thin">
        <color rgb="FFBBBBBB"/>
      </top>
      <bottom style="medium">
        <color rgb="FF0B5345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0B5345"/>
      </bottom>
      <diagonal/>
    </border>
    <border>
      <left style="thin">
        <color rgb="FFBBBBBB"/>
      </left>
      <right style="medium">
        <color rgb="FF0B5345"/>
      </right>
      <top style="thin">
        <color rgb="FFBBBBBB"/>
      </top>
      <bottom style="medium">
        <color rgb="FF0B5345"/>
      </bottom>
      <diagonal/>
    </border>
    <border>
      <left style="medium">
        <color rgb="FF4A235A"/>
      </left>
      <right style="thin">
        <color rgb="FFBBBBBB"/>
      </right>
      <top style="medium">
        <color rgb="FF4A235A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4A235A"/>
      </top>
      <bottom style="thin">
        <color rgb="FFBBBBBB"/>
      </bottom>
      <diagonal/>
    </border>
    <border>
      <left style="thin">
        <color rgb="FFBBBBBB"/>
      </left>
      <right style="medium">
        <color rgb="FF4A235A"/>
      </right>
      <top style="medium">
        <color rgb="FF4A235A"/>
      </top>
      <bottom style="thin">
        <color rgb="FFBBBBBB"/>
      </bottom>
      <diagonal/>
    </border>
    <border>
      <left style="medium">
        <color rgb="FF4A235A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4A235A"/>
      </right>
      <top style="thin">
        <color rgb="FFBBBBBB"/>
      </top>
      <bottom style="thin">
        <color rgb="FFBBBBBB"/>
      </bottom>
      <diagonal/>
    </border>
    <border>
      <left style="medium">
        <color rgb="FF4A235A"/>
      </left>
      <right style="thin">
        <color rgb="FFBBBBBB"/>
      </right>
      <top style="thin">
        <color rgb="FFBBBBBB"/>
      </top>
      <bottom style="medium">
        <color rgb="FF4A235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4A235A"/>
      </bottom>
      <diagonal/>
    </border>
    <border>
      <left style="thin">
        <color rgb="FFBBBBBB"/>
      </left>
      <right style="medium">
        <color rgb="FF4A235A"/>
      </right>
      <top style="thin">
        <color rgb="FFBBBBBB"/>
      </top>
      <bottom style="medium">
        <color rgb="FF4A235A"/>
      </bottom>
      <diagonal/>
    </border>
    <border>
      <left style="medium">
        <color rgb="FF1B4F72"/>
      </left>
      <right style="thin">
        <color rgb="FFBBBBBB"/>
      </right>
      <top style="medium">
        <color rgb="FF1B4F72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1B4F72"/>
      </top>
      <bottom style="thin">
        <color rgb="FFBBBBBB"/>
      </bottom>
      <diagonal/>
    </border>
    <border>
      <left style="thin">
        <color rgb="FFBBBBBB"/>
      </left>
      <right style="medium">
        <color rgb="FF1B4F72"/>
      </right>
      <top style="medium">
        <color rgb="FF1B4F72"/>
      </top>
      <bottom style="thin">
        <color rgb="FFBBBBBB"/>
      </bottom>
      <diagonal/>
    </border>
    <border>
      <left style="medium">
        <color rgb="FF1B4F72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1B4F72"/>
      </right>
      <top style="thin">
        <color rgb="FFBBBBBB"/>
      </top>
      <bottom style="thin">
        <color rgb="FFBBBBBB"/>
      </bottom>
      <diagonal/>
    </border>
    <border>
      <left style="medium">
        <color rgb="FF1B4F72"/>
      </left>
      <right style="thin">
        <color rgb="FFBBBBBB"/>
      </right>
      <top style="thin">
        <color rgb="FFBBBBBB"/>
      </top>
      <bottom style="medium">
        <color rgb="FF1B4F72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1B4F72"/>
      </bottom>
      <diagonal/>
    </border>
    <border>
      <left style="thin">
        <color rgb="FFBBBBBB"/>
      </left>
      <right style="medium">
        <color rgb="FF1B4F72"/>
      </right>
      <top style="thin">
        <color rgb="FFBBBBBB"/>
      </top>
      <bottom style="medium">
        <color rgb="FF1B4F72"/>
      </bottom>
      <diagonal/>
    </border>
    <border>
      <left style="medium">
        <color rgb="FF4D4D00"/>
      </left>
      <right style="thin">
        <color rgb="FFBBBBBB"/>
      </right>
      <top style="medium">
        <color rgb="FF4D4D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4D4D00"/>
      </top>
      <bottom style="thin">
        <color rgb="FFBBBBBB"/>
      </bottom>
      <diagonal/>
    </border>
    <border>
      <left style="thin">
        <color rgb="FFBBBBBB"/>
      </left>
      <right style="medium">
        <color rgb="FF4D4D00"/>
      </right>
      <top style="medium">
        <color rgb="FF4D4D00"/>
      </top>
      <bottom style="thin">
        <color rgb="FFBBBBBB"/>
      </bottom>
      <diagonal/>
    </border>
    <border>
      <left style="medium">
        <color rgb="FF4D4D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4D4D00"/>
      </right>
      <top style="thin">
        <color rgb="FFBBBBBB"/>
      </top>
      <bottom style="thin">
        <color rgb="FFBBBBBB"/>
      </bottom>
      <diagonal/>
    </border>
    <border>
      <left style="medium">
        <color rgb="FF4D4D00"/>
      </left>
      <right style="thin">
        <color rgb="FFBBBBBB"/>
      </right>
      <top style="thin">
        <color rgb="FFBBBBBB"/>
      </top>
      <bottom style="medium">
        <color rgb="FF4D4D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4D4D00"/>
      </bottom>
      <diagonal/>
    </border>
    <border>
      <left style="thin">
        <color rgb="FFBBBBBB"/>
      </left>
      <right style="medium">
        <color rgb="FF4D4D00"/>
      </right>
      <top style="thin">
        <color rgb="FFBBBBBB"/>
      </top>
      <bottom style="medium">
        <color rgb="FF4D4D00"/>
      </bottom>
      <diagonal/>
    </border>
    <border>
      <left style="medium">
        <color rgb="FF8B0000"/>
      </left>
      <right style="thin">
        <color rgb="FFBBBBBB"/>
      </right>
      <top style="medium">
        <color rgb="FF8B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8B0000"/>
      </top>
      <bottom style="thin">
        <color rgb="FFBBBBBB"/>
      </bottom>
      <diagonal/>
    </border>
    <border>
      <left style="thin">
        <color rgb="FFBBBBBB"/>
      </left>
      <right style="medium">
        <color rgb="FF8B0000"/>
      </right>
      <top style="medium">
        <color rgb="FF8B0000"/>
      </top>
      <bottom style="thin">
        <color rgb="FFBBBBBB"/>
      </bottom>
      <diagonal/>
    </border>
    <border>
      <left style="medium">
        <color rgb="FF8B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8B0000"/>
      </right>
      <top style="thin">
        <color rgb="FFBBBBBB"/>
      </top>
      <bottom style="thin">
        <color rgb="FFBBBBBB"/>
      </bottom>
      <diagonal/>
    </border>
    <border>
      <left style="medium">
        <color rgb="FF8B0000"/>
      </left>
      <right style="thin">
        <color rgb="FFBBBBBB"/>
      </right>
      <top style="thin">
        <color rgb="FFBBBBBB"/>
      </top>
      <bottom style="medium">
        <color rgb="FF8B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8B0000"/>
      </bottom>
      <diagonal/>
    </border>
    <border>
      <left style="thin">
        <color rgb="FFBBBBBB"/>
      </left>
      <right style="medium">
        <color rgb="FF8B0000"/>
      </right>
      <top style="thin">
        <color rgb="FFBBBBBB"/>
      </top>
      <bottom style="medium">
        <color rgb="FF8B0000"/>
      </bottom>
      <diagonal/>
    </border>
  </borders>
  <cellStyleXfs count="1">
    <xf numFmtId="0" fontId="0" fillId="0" borderId="0"/>
  </cellStyleXfs>
  <cellXfs count="457">
    <xf numFmtId="0" fontId="0" fillId="0" borderId="0" xfId="0"/>
    <xf numFmtId="0" fontId="3" fillId="4" borderId="2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0" fillId="0" borderId="1" xfId="0" applyBorder="1"/>
    <xf numFmtId="0" fontId="0" fillId="0" borderId="6" xfId="0" applyBorder="1"/>
    <xf numFmtId="0" fontId="3" fillId="4" borderId="7" xfId="0" applyFont="1" applyFill="1" applyBorder="1" applyAlignment="1">
      <alignment horizontal="righ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0" fontId="27" fillId="9" borderId="5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9" fillId="11" borderId="5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0" fillId="12" borderId="5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1" fillId="13" borderId="5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2" fillId="11" borderId="5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3" fillId="14" borderId="5" xfId="0" applyFont="1" applyFill="1" applyBorder="1" applyAlignment="1">
      <alignment horizontal="center" vertical="center" wrapText="1"/>
    </xf>
    <xf numFmtId="0" fontId="34" fillId="15" borderId="5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5" fillId="8" borderId="5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6" fillId="16" borderId="7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38" fillId="8" borderId="5" xfId="0" applyFont="1" applyFill="1" applyBorder="1" applyAlignment="1">
      <alignment horizontal="center" vertical="top" wrapText="1"/>
    </xf>
    <xf numFmtId="0" fontId="39" fillId="8" borderId="1" xfId="0" applyFont="1" applyFill="1" applyBorder="1" applyAlignment="1">
      <alignment horizontal="center" vertical="top" wrapText="1"/>
    </xf>
    <xf numFmtId="0" fontId="38" fillId="8" borderId="1" xfId="0" applyFont="1" applyFill="1" applyBorder="1" applyAlignment="1">
      <alignment horizontal="left" vertical="top" wrapText="1"/>
    </xf>
    <xf numFmtId="0" fontId="39" fillId="8" borderId="1" xfId="0" applyFont="1" applyFill="1" applyBorder="1" applyAlignment="1">
      <alignment horizontal="left" vertical="top" wrapText="1"/>
    </xf>
    <xf numFmtId="0" fontId="38" fillId="8" borderId="1" xfId="0" applyFont="1" applyFill="1" applyBorder="1" applyAlignment="1">
      <alignment horizontal="center" vertical="top" wrapText="1"/>
    </xf>
    <xf numFmtId="0" fontId="40" fillId="8" borderId="1" xfId="0" applyFont="1" applyFill="1" applyBorder="1" applyAlignment="1">
      <alignment horizontal="center" vertical="top"/>
    </xf>
    <xf numFmtId="0" fontId="39" fillId="8" borderId="1" xfId="0" applyFont="1" applyFill="1" applyBorder="1" applyAlignment="1">
      <alignment horizontal="center" vertical="top"/>
    </xf>
    <xf numFmtId="0" fontId="38" fillId="8" borderId="6" xfId="0" applyFont="1" applyFill="1" applyBorder="1" applyAlignment="1">
      <alignment horizontal="center" vertical="top" wrapText="1"/>
    </xf>
    <xf numFmtId="0" fontId="38" fillId="5" borderId="5" xfId="0" applyFont="1" applyFill="1" applyBorder="1" applyAlignment="1">
      <alignment horizontal="center" vertical="top" wrapText="1"/>
    </xf>
    <xf numFmtId="0" fontId="39" fillId="5" borderId="1" xfId="0" applyFont="1" applyFill="1" applyBorder="1" applyAlignment="1">
      <alignment horizontal="center" vertical="top" wrapText="1"/>
    </xf>
    <xf numFmtId="0" fontId="38" fillId="5" borderId="1" xfId="0" applyFont="1" applyFill="1" applyBorder="1" applyAlignment="1">
      <alignment horizontal="left" vertical="top" wrapText="1"/>
    </xf>
    <xf numFmtId="0" fontId="39" fillId="5" borderId="1" xfId="0" applyFont="1" applyFill="1" applyBorder="1" applyAlignment="1">
      <alignment horizontal="left" vertical="top" wrapText="1"/>
    </xf>
    <xf numFmtId="0" fontId="38" fillId="5" borderId="1" xfId="0" applyFont="1" applyFill="1" applyBorder="1" applyAlignment="1">
      <alignment horizontal="center" vertical="top" wrapText="1"/>
    </xf>
    <xf numFmtId="0" fontId="40" fillId="5" borderId="1" xfId="0" applyFont="1" applyFill="1" applyBorder="1" applyAlignment="1">
      <alignment horizontal="center" vertical="top"/>
    </xf>
    <xf numFmtId="0" fontId="39" fillId="5" borderId="1" xfId="0" applyFont="1" applyFill="1" applyBorder="1" applyAlignment="1">
      <alignment horizontal="center" vertical="top"/>
    </xf>
    <xf numFmtId="0" fontId="38" fillId="5" borderId="6" xfId="0" applyFont="1" applyFill="1" applyBorder="1" applyAlignment="1">
      <alignment horizontal="center" vertical="top" wrapText="1"/>
    </xf>
    <xf numFmtId="0" fontId="38" fillId="9" borderId="5" xfId="0" applyFont="1" applyFill="1" applyBorder="1" applyAlignment="1">
      <alignment horizontal="center" vertical="top" wrapText="1"/>
    </xf>
    <xf numFmtId="0" fontId="39" fillId="9" borderId="1" xfId="0" applyFont="1" applyFill="1" applyBorder="1" applyAlignment="1">
      <alignment horizontal="center" vertical="top" wrapText="1"/>
    </xf>
    <xf numFmtId="0" fontId="38" fillId="9" borderId="1" xfId="0" applyFont="1" applyFill="1" applyBorder="1" applyAlignment="1">
      <alignment horizontal="left" vertical="top" wrapText="1"/>
    </xf>
    <xf numFmtId="0" fontId="39" fillId="9" borderId="1" xfId="0" applyFont="1" applyFill="1" applyBorder="1" applyAlignment="1">
      <alignment horizontal="left" vertical="top" wrapText="1"/>
    </xf>
    <xf numFmtId="0" fontId="38" fillId="9" borderId="1" xfId="0" applyFont="1" applyFill="1" applyBorder="1" applyAlignment="1">
      <alignment horizontal="center" vertical="top" wrapText="1"/>
    </xf>
    <xf numFmtId="0" fontId="40" fillId="9" borderId="1" xfId="0" applyFont="1" applyFill="1" applyBorder="1" applyAlignment="1">
      <alignment horizontal="center" vertical="top"/>
    </xf>
    <xf numFmtId="0" fontId="39" fillId="9" borderId="1" xfId="0" applyFont="1" applyFill="1" applyBorder="1" applyAlignment="1">
      <alignment horizontal="center" vertical="top"/>
    </xf>
    <xf numFmtId="0" fontId="38" fillId="9" borderId="6" xfId="0" applyFont="1" applyFill="1" applyBorder="1" applyAlignment="1">
      <alignment horizontal="center" vertical="top" wrapText="1"/>
    </xf>
    <xf numFmtId="0" fontId="38" fillId="10" borderId="5" xfId="0" applyFont="1" applyFill="1" applyBorder="1" applyAlignment="1">
      <alignment horizontal="center" vertical="top" wrapText="1"/>
    </xf>
    <xf numFmtId="0" fontId="39" fillId="10" borderId="1" xfId="0" applyFont="1" applyFill="1" applyBorder="1" applyAlignment="1">
      <alignment horizontal="center" vertical="top" wrapText="1"/>
    </xf>
    <xf numFmtId="0" fontId="38" fillId="10" borderId="1" xfId="0" applyFont="1" applyFill="1" applyBorder="1" applyAlignment="1">
      <alignment horizontal="left" vertical="top" wrapText="1"/>
    </xf>
    <xf numFmtId="0" fontId="39" fillId="10" borderId="1" xfId="0" applyFont="1" applyFill="1" applyBorder="1" applyAlignment="1">
      <alignment horizontal="left" vertical="top" wrapText="1"/>
    </xf>
    <xf numFmtId="0" fontId="38" fillId="10" borderId="1" xfId="0" applyFont="1" applyFill="1" applyBorder="1" applyAlignment="1">
      <alignment horizontal="center" vertical="top" wrapText="1"/>
    </xf>
    <xf numFmtId="0" fontId="40" fillId="10" borderId="1" xfId="0" applyFont="1" applyFill="1" applyBorder="1" applyAlignment="1">
      <alignment horizontal="center" vertical="top"/>
    </xf>
    <xf numFmtId="0" fontId="39" fillId="10" borderId="1" xfId="0" applyFont="1" applyFill="1" applyBorder="1" applyAlignment="1">
      <alignment horizontal="center" vertical="top"/>
    </xf>
    <xf numFmtId="0" fontId="38" fillId="10" borderId="6" xfId="0" applyFont="1" applyFill="1" applyBorder="1" applyAlignment="1">
      <alignment horizontal="center" vertical="top" wrapText="1"/>
    </xf>
    <xf numFmtId="0" fontId="38" fillId="11" borderId="5" xfId="0" applyFont="1" applyFill="1" applyBorder="1" applyAlignment="1">
      <alignment horizontal="center" vertical="top" wrapText="1"/>
    </xf>
    <xf numFmtId="0" fontId="39" fillId="11" borderId="1" xfId="0" applyFont="1" applyFill="1" applyBorder="1" applyAlignment="1">
      <alignment horizontal="center" vertical="top" wrapText="1"/>
    </xf>
    <xf numFmtId="0" fontId="38" fillId="11" borderId="1" xfId="0" applyFont="1" applyFill="1" applyBorder="1" applyAlignment="1">
      <alignment horizontal="left" vertical="top" wrapText="1"/>
    </xf>
    <xf numFmtId="0" fontId="39" fillId="11" borderId="1" xfId="0" applyFont="1" applyFill="1" applyBorder="1" applyAlignment="1">
      <alignment horizontal="left" vertical="top" wrapText="1"/>
    </xf>
    <xf numFmtId="0" fontId="38" fillId="11" borderId="1" xfId="0" applyFont="1" applyFill="1" applyBorder="1" applyAlignment="1">
      <alignment horizontal="center" vertical="top" wrapText="1"/>
    </xf>
    <xf numFmtId="0" fontId="40" fillId="11" borderId="1" xfId="0" applyFont="1" applyFill="1" applyBorder="1" applyAlignment="1">
      <alignment horizontal="center" vertical="top"/>
    </xf>
    <xf numFmtId="0" fontId="39" fillId="11" borderId="1" xfId="0" applyFont="1" applyFill="1" applyBorder="1" applyAlignment="1">
      <alignment horizontal="center" vertical="top"/>
    </xf>
    <xf numFmtId="0" fontId="38" fillId="11" borderId="6" xfId="0" applyFont="1" applyFill="1" applyBorder="1" applyAlignment="1">
      <alignment horizontal="center" vertical="top" wrapText="1"/>
    </xf>
    <xf numFmtId="0" fontId="38" fillId="12" borderId="5" xfId="0" applyFont="1" applyFill="1" applyBorder="1" applyAlignment="1">
      <alignment horizontal="center" vertical="top" wrapText="1"/>
    </xf>
    <xf numFmtId="0" fontId="39" fillId="12" borderId="1" xfId="0" applyFont="1" applyFill="1" applyBorder="1" applyAlignment="1">
      <alignment horizontal="center" vertical="top" wrapText="1"/>
    </xf>
    <xf numFmtId="0" fontId="38" fillId="12" borderId="1" xfId="0" applyFont="1" applyFill="1" applyBorder="1" applyAlignment="1">
      <alignment horizontal="left" vertical="top" wrapText="1"/>
    </xf>
    <xf numFmtId="0" fontId="39" fillId="12" borderId="1" xfId="0" applyFont="1" applyFill="1" applyBorder="1" applyAlignment="1">
      <alignment horizontal="left" vertical="top" wrapText="1"/>
    </xf>
    <xf numFmtId="0" fontId="38" fillId="12" borderId="1" xfId="0" applyFont="1" applyFill="1" applyBorder="1" applyAlignment="1">
      <alignment horizontal="center" vertical="top" wrapText="1"/>
    </xf>
    <xf numFmtId="0" fontId="40" fillId="12" borderId="1" xfId="0" applyFont="1" applyFill="1" applyBorder="1" applyAlignment="1">
      <alignment horizontal="center" vertical="top"/>
    </xf>
    <xf numFmtId="0" fontId="39" fillId="12" borderId="1" xfId="0" applyFont="1" applyFill="1" applyBorder="1" applyAlignment="1">
      <alignment horizontal="center" vertical="top"/>
    </xf>
    <xf numFmtId="0" fontId="38" fillId="12" borderId="6" xfId="0" applyFont="1" applyFill="1" applyBorder="1" applyAlignment="1">
      <alignment horizontal="center" vertical="top" wrapText="1"/>
    </xf>
    <xf numFmtId="0" fontId="38" fillId="13" borderId="5" xfId="0" applyFont="1" applyFill="1" applyBorder="1" applyAlignment="1">
      <alignment horizontal="center" vertical="top" wrapText="1"/>
    </xf>
    <xf numFmtId="0" fontId="39" fillId="13" borderId="1" xfId="0" applyFont="1" applyFill="1" applyBorder="1" applyAlignment="1">
      <alignment horizontal="center" vertical="top" wrapText="1"/>
    </xf>
    <xf numFmtId="0" fontId="38" fillId="13" borderId="1" xfId="0" applyFont="1" applyFill="1" applyBorder="1" applyAlignment="1">
      <alignment horizontal="left" vertical="top" wrapText="1"/>
    </xf>
    <xf numFmtId="0" fontId="39" fillId="13" borderId="1" xfId="0" applyFont="1" applyFill="1" applyBorder="1" applyAlignment="1">
      <alignment horizontal="left" vertical="top" wrapText="1"/>
    </xf>
    <xf numFmtId="0" fontId="38" fillId="13" borderId="1" xfId="0" applyFont="1" applyFill="1" applyBorder="1" applyAlignment="1">
      <alignment horizontal="center" vertical="top" wrapText="1"/>
    </xf>
    <xf numFmtId="0" fontId="40" fillId="13" borderId="1" xfId="0" applyFont="1" applyFill="1" applyBorder="1" applyAlignment="1">
      <alignment horizontal="center" vertical="top"/>
    </xf>
    <xf numFmtId="0" fontId="39" fillId="13" borderId="1" xfId="0" applyFont="1" applyFill="1" applyBorder="1" applyAlignment="1">
      <alignment horizontal="center" vertical="top"/>
    </xf>
    <xf numFmtId="0" fontId="38" fillId="13" borderId="6" xfId="0" applyFont="1" applyFill="1" applyBorder="1" applyAlignment="1">
      <alignment horizontal="center" vertical="top" wrapText="1"/>
    </xf>
    <xf numFmtId="0" fontId="38" fillId="14" borderId="5" xfId="0" applyFont="1" applyFill="1" applyBorder="1" applyAlignment="1">
      <alignment horizontal="center" vertical="top" wrapText="1"/>
    </xf>
    <xf numFmtId="0" fontId="39" fillId="14" borderId="1" xfId="0" applyFont="1" applyFill="1" applyBorder="1" applyAlignment="1">
      <alignment horizontal="center" vertical="top" wrapText="1"/>
    </xf>
    <xf numFmtId="0" fontId="38" fillId="14" borderId="1" xfId="0" applyFont="1" applyFill="1" applyBorder="1" applyAlignment="1">
      <alignment horizontal="left" vertical="top" wrapText="1"/>
    </xf>
    <xf numFmtId="0" fontId="39" fillId="14" borderId="1" xfId="0" applyFont="1" applyFill="1" applyBorder="1" applyAlignment="1">
      <alignment horizontal="left" vertical="top" wrapText="1"/>
    </xf>
    <xf numFmtId="0" fontId="38" fillId="14" borderId="1" xfId="0" applyFont="1" applyFill="1" applyBorder="1" applyAlignment="1">
      <alignment horizontal="center" vertical="top" wrapText="1"/>
    </xf>
    <xf numFmtId="0" fontId="40" fillId="14" borderId="1" xfId="0" applyFont="1" applyFill="1" applyBorder="1" applyAlignment="1">
      <alignment horizontal="center" vertical="top"/>
    </xf>
    <xf numFmtId="0" fontId="39" fillId="14" borderId="1" xfId="0" applyFont="1" applyFill="1" applyBorder="1" applyAlignment="1">
      <alignment horizontal="center" vertical="top"/>
    </xf>
    <xf numFmtId="0" fontId="38" fillId="14" borderId="6" xfId="0" applyFont="1" applyFill="1" applyBorder="1" applyAlignment="1">
      <alignment horizontal="center" vertical="top" wrapText="1"/>
    </xf>
    <xf numFmtId="0" fontId="38" fillId="15" borderId="5" xfId="0" applyFont="1" applyFill="1" applyBorder="1" applyAlignment="1">
      <alignment horizontal="center" vertical="top" wrapText="1"/>
    </xf>
    <xf numFmtId="0" fontId="39" fillId="15" borderId="1" xfId="0" applyFont="1" applyFill="1" applyBorder="1" applyAlignment="1">
      <alignment horizontal="center" vertical="top" wrapText="1"/>
    </xf>
    <xf numFmtId="0" fontId="38" fillId="15" borderId="1" xfId="0" applyFont="1" applyFill="1" applyBorder="1" applyAlignment="1">
      <alignment horizontal="left" vertical="top" wrapText="1"/>
    </xf>
    <xf numFmtId="0" fontId="39" fillId="15" borderId="1" xfId="0" applyFont="1" applyFill="1" applyBorder="1" applyAlignment="1">
      <alignment horizontal="left" vertical="top" wrapText="1"/>
    </xf>
    <xf numFmtId="0" fontId="38" fillId="15" borderId="1" xfId="0" applyFont="1" applyFill="1" applyBorder="1" applyAlignment="1">
      <alignment horizontal="center" vertical="top" wrapText="1"/>
    </xf>
    <xf numFmtId="0" fontId="40" fillId="15" borderId="1" xfId="0" applyFont="1" applyFill="1" applyBorder="1" applyAlignment="1">
      <alignment horizontal="center" vertical="top"/>
    </xf>
    <xf numFmtId="0" fontId="39" fillId="15" borderId="1" xfId="0" applyFont="1" applyFill="1" applyBorder="1" applyAlignment="1">
      <alignment horizontal="center" vertical="top"/>
    </xf>
    <xf numFmtId="0" fontId="38" fillId="15" borderId="6" xfId="0" applyFont="1" applyFill="1" applyBorder="1" applyAlignment="1">
      <alignment horizontal="center" vertical="top" wrapText="1"/>
    </xf>
    <xf numFmtId="0" fontId="38" fillId="16" borderId="5" xfId="0" applyFont="1" applyFill="1" applyBorder="1" applyAlignment="1">
      <alignment horizontal="center" vertical="top" wrapText="1"/>
    </xf>
    <xf numFmtId="0" fontId="39" fillId="16" borderId="1" xfId="0" applyFont="1" applyFill="1" applyBorder="1" applyAlignment="1">
      <alignment horizontal="center" vertical="top" wrapText="1"/>
    </xf>
    <xf numFmtId="0" fontId="38" fillId="16" borderId="1" xfId="0" applyFont="1" applyFill="1" applyBorder="1" applyAlignment="1">
      <alignment horizontal="left" vertical="top" wrapText="1"/>
    </xf>
    <xf numFmtId="0" fontId="39" fillId="16" borderId="1" xfId="0" applyFont="1" applyFill="1" applyBorder="1" applyAlignment="1">
      <alignment horizontal="left" vertical="top" wrapText="1"/>
    </xf>
    <xf numFmtId="0" fontId="38" fillId="16" borderId="1" xfId="0" applyFont="1" applyFill="1" applyBorder="1" applyAlignment="1">
      <alignment horizontal="center" vertical="top" wrapText="1"/>
    </xf>
    <xf numFmtId="0" fontId="40" fillId="16" borderId="1" xfId="0" applyFont="1" applyFill="1" applyBorder="1" applyAlignment="1">
      <alignment horizontal="center" vertical="top"/>
    </xf>
    <xf numFmtId="0" fontId="39" fillId="16" borderId="1" xfId="0" applyFont="1" applyFill="1" applyBorder="1" applyAlignment="1">
      <alignment horizontal="center" vertical="top"/>
    </xf>
    <xf numFmtId="0" fontId="38" fillId="16" borderId="6" xfId="0" applyFont="1" applyFill="1" applyBorder="1" applyAlignment="1">
      <alignment horizontal="center" vertical="top" wrapText="1"/>
    </xf>
    <xf numFmtId="0" fontId="38" fillId="5" borderId="7" xfId="0" applyFont="1" applyFill="1" applyBorder="1" applyAlignment="1">
      <alignment horizontal="center" vertical="top" wrapText="1"/>
    </xf>
    <xf numFmtId="0" fontId="39" fillId="5" borderId="8" xfId="0" applyFont="1" applyFill="1" applyBorder="1" applyAlignment="1">
      <alignment horizontal="center" vertical="top" wrapText="1"/>
    </xf>
    <xf numFmtId="0" fontId="38" fillId="5" borderId="8" xfId="0" applyFont="1" applyFill="1" applyBorder="1" applyAlignment="1">
      <alignment horizontal="left" vertical="top" wrapText="1"/>
    </xf>
    <xf numFmtId="0" fontId="39" fillId="5" borderId="8" xfId="0" applyFont="1" applyFill="1" applyBorder="1" applyAlignment="1">
      <alignment horizontal="left" vertical="top" wrapText="1"/>
    </xf>
    <xf numFmtId="0" fontId="38" fillId="5" borderId="8" xfId="0" applyFont="1" applyFill="1" applyBorder="1" applyAlignment="1">
      <alignment horizontal="center" vertical="top" wrapText="1"/>
    </xf>
    <xf numFmtId="0" fontId="40" fillId="5" borderId="8" xfId="0" applyFont="1" applyFill="1" applyBorder="1" applyAlignment="1">
      <alignment horizontal="center" vertical="top"/>
    </xf>
    <xf numFmtId="0" fontId="39" fillId="5" borderId="8" xfId="0" applyFont="1" applyFill="1" applyBorder="1" applyAlignment="1">
      <alignment horizontal="center" vertical="top"/>
    </xf>
    <xf numFmtId="0" fontId="38" fillId="5" borderId="9" xfId="0" applyFont="1" applyFill="1" applyBorder="1" applyAlignment="1">
      <alignment horizontal="center" vertical="top" wrapText="1"/>
    </xf>
    <xf numFmtId="0" fontId="3" fillId="4" borderId="18" xfId="0" applyFont="1" applyFill="1" applyBorder="1" applyAlignment="1">
      <alignment horizontal="right" vertical="center" wrapText="1"/>
    </xf>
    <xf numFmtId="0" fontId="0" fillId="0" borderId="19" xfId="0" applyBorder="1"/>
    <xf numFmtId="0" fontId="3" fillId="4" borderId="19" xfId="0" applyFont="1" applyFill="1" applyBorder="1" applyAlignment="1">
      <alignment horizontal="right" vertical="center" wrapText="1"/>
    </xf>
    <xf numFmtId="0" fontId="0" fillId="0" borderId="20" xfId="0" applyBorder="1"/>
    <xf numFmtId="0" fontId="9" fillId="17" borderId="21" xfId="0" applyFont="1" applyFill="1" applyBorder="1" applyAlignment="1">
      <alignment horizontal="center" vertical="center" wrapText="1"/>
    </xf>
    <xf numFmtId="0" fontId="9" fillId="17" borderId="22" xfId="0" applyFont="1" applyFill="1" applyBorder="1" applyAlignment="1">
      <alignment horizontal="center" vertical="center" wrapText="1"/>
    </xf>
    <xf numFmtId="0" fontId="9" fillId="17" borderId="23" xfId="0" applyFont="1" applyFill="1" applyBorder="1" applyAlignment="1">
      <alignment horizontal="center" vertical="center" wrapText="1"/>
    </xf>
    <xf numFmtId="0" fontId="38" fillId="8" borderId="24" xfId="0" applyFont="1" applyFill="1" applyBorder="1" applyAlignment="1">
      <alignment horizontal="center" vertical="top" wrapText="1"/>
    </xf>
    <xf numFmtId="0" fontId="38" fillId="8" borderId="25" xfId="0" applyFont="1" applyFill="1" applyBorder="1" applyAlignment="1">
      <alignment horizontal="center" vertical="top" wrapText="1"/>
    </xf>
    <xf numFmtId="0" fontId="38" fillId="5" borderId="24" xfId="0" applyFont="1" applyFill="1" applyBorder="1" applyAlignment="1">
      <alignment horizontal="center" vertical="top" wrapText="1"/>
    </xf>
    <xf numFmtId="0" fontId="38" fillId="5" borderId="25" xfId="0" applyFont="1" applyFill="1" applyBorder="1" applyAlignment="1">
      <alignment horizontal="center" vertical="top" wrapText="1"/>
    </xf>
    <xf numFmtId="0" fontId="0" fillId="5" borderId="24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25" xfId="0" applyFill="1" applyBorder="1" applyAlignment="1">
      <alignment horizontal="center" vertical="top" wrapText="1"/>
    </xf>
    <xf numFmtId="0" fontId="0" fillId="5" borderId="26" xfId="0" applyFill="1" applyBorder="1" applyAlignment="1">
      <alignment horizontal="center" vertical="top" wrapText="1"/>
    </xf>
    <xf numFmtId="0" fontId="0" fillId="5" borderId="27" xfId="0" applyFill="1" applyBorder="1" applyAlignment="1">
      <alignment horizontal="center" vertical="top" wrapText="1"/>
    </xf>
    <xf numFmtId="0" fontId="40" fillId="5" borderId="27" xfId="0" applyFont="1" applyFill="1" applyBorder="1" applyAlignment="1">
      <alignment horizontal="center" vertical="top"/>
    </xf>
    <xf numFmtId="0" fontId="39" fillId="5" borderId="27" xfId="0" applyFont="1" applyFill="1" applyBorder="1" applyAlignment="1">
      <alignment horizontal="center" vertical="top"/>
    </xf>
    <xf numFmtId="0" fontId="0" fillId="5" borderId="28" xfId="0" applyFill="1" applyBorder="1" applyAlignment="1">
      <alignment horizontal="center" vertical="top" wrapText="1"/>
    </xf>
    <xf numFmtId="0" fontId="0" fillId="0" borderId="5" xfId="0" applyBorder="1"/>
    <xf numFmtId="0" fontId="9" fillId="18" borderId="29" xfId="0" applyFont="1" applyFill="1" applyBorder="1" applyAlignment="1">
      <alignment horizontal="center" vertical="center" wrapText="1"/>
    </xf>
    <xf numFmtId="0" fontId="9" fillId="18" borderId="30" xfId="0" applyFont="1" applyFill="1" applyBorder="1" applyAlignment="1">
      <alignment horizontal="center" vertical="center" wrapText="1"/>
    </xf>
    <xf numFmtId="0" fontId="9" fillId="18" borderId="31" xfId="0" applyFont="1" applyFill="1" applyBorder="1" applyAlignment="1">
      <alignment horizontal="center" vertical="center" wrapText="1"/>
    </xf>
    <xf numFmtId="0" fontId="38" fillId="9" borderId="32" xfId="0" applyFont="1" applyFill="1" applyBorder="1" applyAlignment="1">
      <alignment horizontal="center" vertical="top" wrapText="1"/>
    </xf>
    <xf numFmtId="0" fontId="38" fillId="9" borderId="33" xfId="0" applyFont="1" applyFill="1" applyBorder="1" applyAlignment="1">
      <alignment horizontal="center" vertical="top" wrapText="1"/>
    </xf>
    <xf numFmtId="0" fontId="38" fillId="5" borderId="32" xfId="0" applyFont="1" applyFill="1" applyBorder="1" applyAlignment="1">
      <alignment horizontal="center" vertical="top" wrapText="1"/>
    </xf>
    <xf numFmtId="0" fontId="38" fillId="5" borderId="33" xfId="0" applyFont="1" applyFill="1" applyBorder="1" applyAlignment="1">
      <alignment horizontal="center" vertical="top" wrapText="1"/>
    </xf>
    <xf numFmtId="0" fontId="0" fillId="5" borderId="32" xfId="0" applyFill="1" applyBorder="1" applyAlignment="1">
      <alignment horizontal="center" vertical="top" wrapText="1"/>
    </xf>
    <xf numFmtId="0" fontId="0" fillId="5" borderId="33" xfId="0" applyFill="1" applyBorder="1" applyAlignment="1">
      <alignment horizontal="center" vertical="top" wrapText="1"/>
    </xf>
    <xf numFmtId="0" fontId="0" fillId="5" borderId="34" xfId="0" applyFill="1" applyBorder="1" applyAlignment="1">
      <alignment horizontal="center" vertical="top" wrapText="1"/>
    </xf>
    <xf numFmtId="0" fontId="0" fillId="5" borderId="35" xfId="0" applyFill="1" applyBorder="1" applyAlignment="1">
      <alignment horizontal="center" vertical="top" wrapText="1"/>
    </xf>
    <xf numFmtId="0" fontId="40" fillId="5" borderId="35" xfId="0" applyFont="1" applyFill="1" applyBorder="1" applyAlignment="1">
      <alignment horizontal="center" vertical="top"/>
    </xf>
    <xf numFmtId="0" fontId="39" fillId="5" borderId="35" xfId="0" applyFont="1" applyFill="1" applyBorder="1" applyAlignment="1">
      <alignment horizontal="center" vertical="top"/>
    </xf>
    <xf numFmtId="0" fontId="0" fillId="5" borderId="36" xfId="0" applyFill="1" applyBorder="1" applyAlignment="1">
      <alignment horizontal="center" vertical="top" wrapText="1"/>
    </xf>
    <xf numFmtId="0" fontId="9" fillId="19" borderId="37" xfId="0" applyFont="1" applyFill="1" applyBorder="1" applyAlignment="1">
      <alignment horizontal="center" vertical="center" wrapText="1"/>
    </xf>
    <xf numFmtId="0" fontId="9" fillId="19" borderId="38" xfId="0" applyFont="1" applyFill="1" applyBorder="1" applyAlignment="1">
      <alignment horizontal="center" vertical="center" wrapText="1"/>
    </xf>
    <xf numFmtId="0" fontId="9" fillId="19" borderId="39" xfId="0" applyFont="1" applyFill="1" applyBorder="1" applyAlignment="1">
      <alignment horizontal="center" vertical="center" wrapText="1"/>
    </xf>
    <xf numFmtId="0" fontId="38" fillId="10" borderId="40" xfId="0" applyFont="1" applyFill="1" applyBorder="1" applyAlignment="1">
      <alignment horizontal="center" vertical="top" wrapText="1"/>
    </xf>
    <xf numFmtId="0" fontId="38" fillId="10" borderId="41" xfId="0" applyFont="1" applyFill="1" applyBorder="1" applyAlignment="1">
      <alignment horizontal="center" vertical="top" wrapText="1"/>
    </xf>
    <xf numFmtId="0" fontId="38" fillId="5" borderId="40" xfId="0" applyFont="1" applyFill="1" applyBorder="1" applyAlignment="1">
      <alignment horizontal="center" vertical="top" wrapText="1"/>
    </xf>
    <xf numFmtId="0" fontId="38" fillId="5" borderId="41" xfId="0" applyFont="1" applyFill="1" applyBorder="1" applyAlignment="1">
      <alignment horizontal="center" vertical="top" wrapText="1"/>
    </xf>
    <xf numFmtId="0" fontId="0" fillId="5" borderId="40" xfId="0" applyFill="1" applyBorder="1" applyAlignment="1">
      <alignment horizontal="center" vertical="top" wrapText="1"/>
    </xf>
    <xf numFmtId="0" fontId="0" fillId="5" borderId="41" xfId="0" applyFill="1" applyBorder="1" applyAlignment="1">
      <alignment horizontal="center" vertical="top" wrapText="1"/>
    </xf>
    <xf numFmtId="0" fontId="0" fillId="5" borderId="42" xfId="0" applyFill="1" applyBorder="1" applyAlignment="1">
      <alignment horizontal="center" vertical="top" wrapText="1"/>
    </xf>
    <xf numFmtId="0" fontId="0" fillId="5" borderId="43" xfId="0" applyFill="1" applyBorder="1" applyAlignment="1">
      <alignment horizontal="center" vertical="top" wrapText="1"/>
    </xf>
    <xf numFmtId="0" fontId="40" fillId="5" borderId="43" xfId="0" applyFont="1" applyFill="1" applyBorder="1" applyAlignment="1">
      <alignment horizontal="center" vertical="top"/>
    </xf>
    <xf numFmtId="0" fontId="39" fillId="5" borderId="43" xfId="0" applyFont="1" applyFill="1" applyBorder="1" applyAlignment="1">
      <alignment horizontal="center" vertical="top"/>
    </xf>
    <xf numFmtId="0" fontId="0" fillId="5" borderId="44" xfId="0" applyFill="1" applyBorder="1" applyAlignment="1">
      <alignment horizontal="center" vertical="top" wrapText="1"/>
    </xf>
    <xf numFmtId="0" fontId="9" fillId="20" borderId="45" xfId="0" applyFont="1" applyFill="1" applyBorder="1" applyAlignment="1">
      <alignment horizontal="center" vertical="center" wrapText="1"/>
    </xf>
    <xf numFmtId="0" fontId="9" fillId="20" borderId="46" xfId="0" applyFont="1" applyFill="1" applyBorder="1" applyAlignment="1">
      <alignment horizontal="center" vertical="center" wrapText="1"/>
    </xf>
    <xf numFmtId="0" fontId="9" fillId="20" borderId="47" xfId="0" applyFont="1" applyFill="1" applyBorder="1" applyAlignment="1">
      <alignment horizontal="center" vertical="center" wrapText="1"/>
    </xf>
    <xf numFmtId="0" fontId="38" fillId="11" borderId="48" xfId="0" applyFont="1" applyFill="1" applyBorder="1" applyAlignment="1">
      <alignment horizontal="center" vertical="top" wrapText="1"/>
    </xf>
    <xf numFmtId="0" fontId="38" fillId="11" borderId="49" xfId="0" applyFont="1" applyFill="1" applyBorder="1" applyAlignment="1">
      <alignment horizontal="center" vertical="top" wrapText="1"/>
    </xf>
    <xf numFmtId="0" fontId="38" fillId="5" borderId="48" xfId="0" applyFont="1" applyFill="1" applyBorder="1" applyAlignment="1">
      <alignment horizontal="center" vertical="top" wrapText="1"/>
    </xf>
    <xf numFmtId="0" fontId="38" fillId="5" borderId="49" xfId="0" applyFont="1" applyFill="1" applyBorder="1" applyAlignment="1">
      <alignment horizontal="center" vertical="top" wrapText="1"/>
    </xf>
    <xf numFmtId="0" fontId="0" fillId="5" borderId="48" xfId="0" applyFill="1" applyBorder="1" applyAlignment="1">
      <alignment horizontal="center" vertical="top" wrapText="1"/>
    </xf>
    <xf numFmtId="0" fontId="0" fillId="5" borderId="49" xfId="0" applyFill="1" applyBorder="1" applyAlignment="1">
      <alignment horizontal="center" vertical="top" wrapText="1"/>
    </xf>
    <xf numFmtId="0" fontId="0" fillId="5" borderId="50" xfId="0" applyFill="1" applyBorder="1" applyAlignment="1">
      <alignment horizontal="center" vertical="top" wrapText="1"/>
    </xf>
    <xf numFmtId="0" fontId="0" fillId="5" borderId="51" xfId="0" applyFill="1" applyBorder="1" applyAlignment="1">
      <alignment horizontal="center" vertical="top" wrapText="1"/>
    </xf>
    <xf numFmtId="0" fontId="40" fillId="5" borderId="51" xfId="0" applyFont="1" applyFill="1" applyBorder="1" applyAlignment="1">
      <alignment horizontal="center" vertical="top"/>
    </xf>
    <xf numFmtId="0" fontId="39" fillId="5" borderId="51" xfId="0" applyFont="1" applyFill="1" applyBorder="1" applyAlignment="1">
      <alignment horizontal="center" vertical="top"/>
    </xf>
    <xf numFmtId="0" fontId="0" fillId="5" borderId="52" xfId="0" applyFill="1" applyBorder="1" applyAlignment="1">
      <alignment horizontal="center" vertical="top" wrapText="1"/>
    </xf>
    <xf numFmtId="0" fontId="9" fillId="21" borderId="53" xfId="0" applyFont="1" applyFill="1" applyBorder="1" applyAlignment="1">
      <alignment horizontal="center" vertical="center" wrapText="1"/>
    </xf>
    <xf numFmtId="0" fontId="9" fillId="21" borderId="54" xfId="0" applyFont="1" applyFill="1" applyBorder="1" applyAlignment="1">
      <alignment horizontal="center" vertical="center" wrapText="1"/>
    </xf>
    <xf numFmtId="0" fontId="9" fillId="21" borderId="55" xfId="0" applyFont="1" applyFill="1" applyBorder="1" applyAlignment="1">
      <alignment horizontal="center" vertical="center" wrapText="1"/>
    </xf>
    <xf numFmtId="0" fontId="38" fillId="12" borderId="56" xfId="0" applyFont="1" applyFill="1" applyBorder="1" applyAlignment="1">
      <alignment horizontal="center" vertical="top" wrapText="1"/>
    </xf>
    <xf numFmtId="0" fontId="38" fillId="12" borderId="57" xfId="0" applyFont="1" applyFill="1" applyBorder="1" applyAlignment="1">
      <alignment horizontal="center" vertical="top" wrapText="1"/>
    </xf>
    <xf numFmtId="0" fontId="38" fillId="5" borderId="56" xfId="0" applyFont="1" applyFill="1" applyBorder="1" applyAlignment="1">
      <alignment horizontal="center" vertical="top" wrapText="1"/>
    </xf>
    <xf numFmtId="0" fontId="38" fillId="5" borderId="57" xfId="0" applyFont="1" applyFill="1" applyBorder="1" applyAlignment="1">
      <alignment horizontal="center" vertical="top" wrapText="1"/>
    </xf>
    <xf numFmtId="0" fontId="0" fillId="5" borderId="56" xfId="0" applyFill="1" applyBorder="1" applyAlignment="1">
      <alignment horizontal="center" vertical="top" wrapText="1"/>
    </xf>
    <xf numFmtId="0" fontId="0" fillId="5" borderId="57" xfId="0" applyFill="1" applyBorder="1" applyAlignment="1">
      <alignment horizontal="center" vertical="top" wrapText="1"/>
    </xf>
    <xf numFmtId="0" fontId="0" fillId="5" borderId="58" xfId="0" applyFill="1" applyBorder="1" applyAlignment="1">
      <alignment horizontal="center" vertical="top" wrapText="1"/>
    </xf>
    <xf numFmtId="0" fontId="0" fillId="5" borderId="59" xfId="0" applyFill="1" applyBorder="1" applyAlignment="1">
      <alignment horizontal="center" vertical="top" wrapText="1"/>
    </xf>
    <xf numFmtId="0" fontId="40" fillId="5" borderId="59" xfId="0" applyFont="1" applyFill="1" applyBorder="1" applyAlignment="1">
      <alignment horizontal="center" vertical="top"/>
    </xf>
    <xf numFmtId="0" fontId="39" fillId="5" borderId="59" xfId="0" applyFont="1" applyFill="1" applyBorder="1" applyAlignment="1">
      <alignment horizontal="center" vertical="top"/>
    </xf>
    <xf numFmtId="0" fontId="0" fillId="5" borderId="60" xfId="0" applyFill="1" applyBorder="1" applyAlignment="1">
      <alignment horizontal="center" vertical="top" wrapText="1"/>
    </xf>
    <xf numFmtId="0" fontId="9" fillId="22" borderId="61" xfId="0" applyFont="1" applyFill="1" applyBorder="1" applyAlignment="1">
      <alignment horizontal="center" vertical="center" wrapText="1"/>
    </xf>
    <xf numFmtId="0" fontId="9" fillId="22" borderId="62" xfId="0" applyFont="1" applyFill="1" applyBorder="1" applyAlignment="1">
      <alignment horizontal="center" vertical="center" wrapText="1"/>
    </xf>
    <xf numFmtId="0" fontId="9" fillId="22" borderId="63" xfId="0" applyFont="1" applyFill="1" applyBorder="1" applyAlignment="1">
      <alignment horizontal="center" vertical="center" wrapText="1"/>
    </xf>
    <xf numFmtId="0" fontId="38" fillId="13" borderId="64" xfId="0" applyFont="1" applyFill="1" applyBorder="1" applyAlignment="1">
      <alignment horizontal="center" vertical="top" wrapText="1"/>
    </xf>
    <xf numFmtId="0" fontId="38" fillId="13" borderId="65" xfId="0" applyFont="1" applyFill="1" applyBorder="1" applyAlignment="1">
      <alignment horizontal="center" vertical="top" wrapText="1"/>
    </xf>
    <xf numFmtId="0" fontId="38" fillId="5" borderId="64" xfId="0" applyFont="1" applyFill="1" applyBorder="1" applyAlignment="1">
      <alignment horizontal="center" vertical="top" wrapText="1"/>
    </xf>
    <xf numFmtId="0" fontId="38" fillId="5" borderId="65" xfId="0" applyFont="1" applyFill="1" applyBorder="1" applyAlignment="1">
      <alignment horizontal="center" vertical="top" wrapText="1"/>
    </xf>
    <xf numFmtId="0" fontId="0" fillId="5" borderId="64" xfId="0" applyFill="1" applyBorder="1" applyAlignment="1">
      <alignment horizontal="center" vertical="top" wrapText="1"/>
    </xf>
    <xf numFmtId="0" fontId="0" fillId="5" borderId="65" xfId="0" applyFill="1" applyBorder="1" applyAlignment="1">
      <alignment horizontal="center" vertical="top" wrapText="1"/>
    </xf>
    <xf numFmtId="0" fontId="0" fillId="5" borderId="66" xfId="0" applyFill="1" applyBorder="1" applyAlignment="1">
      <alignment horizontal="center" vertical="top" wrapText="1"/>
    </xf>
    <xf numFmtId="0" fontId="0" fillId="5" borderId="67" xfId="0" applyFill="1" applyBorder="1" applyAlignment="1">
      <alignment horizontal="center" vertical="top" wrapText="1"/>
    </xf>
    <xf numFmtId="0" fontId="40" fillId="5" borderId="67" xfId="0" applyFont="1" applyFill="1" applyBorder="1" applyAlignment="1">
      <alignment horizontal="center" vertical="top"/>
    </xf>
    <xf numFmtId="0" fontId="39" fillId="5" borderId="67" xfId="0" applyFont="1" applyFill="1" applyBorder="1" applyAlignment="1">
      <alignment horizontal="center" vertical="top"/>
    </xf>
    <xf numFmtId="0" fontId="0" fillId="5" borderId="68" xfId="0" applyFill="1" applyBorder="1" applyAlignment="1">
      <alignment horizontal="center" vertical="top" wrapText="1"/>
    </xf>
    <xf numFmtId="0" fontId="9" fillId="23" borderId="69" xfId="0" applyFont="1" applyFill="1" applyBorder="1" applyAlignment="1">
      <alignment horizontal="center" vertical="center" wrapText="1"/>
    </xf>
    <xf numFmtId="0" fontId="9" fillId="23" borderId="70" xfId="0" applyFont="1" applyFill="1" applyBorder="1" applyAlignment="1">
      <alignment horizontal="center" vertical="center" wrapText="1"/>
    </xf>
    <xf numFmtId="0" fontId="9" fillId="23" borderId="71" xfId="0" applyFont="1" applyFill="1" applyBorder="1" applyAlignment="1">
      <alignment horizontal="center" vertical="center" wrapText="1"/>
    </xf>
    <xf numFmtId="0" fontId="38" fillId="11" borderId="72" xfId="0" applyFont="1" applyFill="1" applyBorder="1" applyAlignment="1">
      <alignment horizontal="center" vertical="top" wrapText="1"/>
    </xf>
    <xf numFmtId="0" fontId="38" fillId="11" borderId="73" xfId="0" applyFont="1" applyFill="1" applyBorder="1" applyAlignment="1">
      <alignment horizontal="center" vertical="top" wrapText="1"/>
    </xf>
    <xf numFmtId="0" fontId="38" fillId="5" borderId="72" xfId="0" applyFont="1" applyFill="1" applyBorder="1" applyAlignment="1">
      <alignment horizontal="center" vertical="top" wrapText="1"/>
    </xf>
    <xf numFmtId="0" fontId="38" fillId="5" borderId="73" xfId="0" applyFont="1" applyFill="1" applyBorder="1" applyAlignment="1">
      <alignment horizontal="center" vertical="top" wrapText="1"/>
    </xf>
    <xf numFmtId="0" fontId="0" fillId="5" borderId="72" xfId="0" applyFill="1" applyBorder="1" applyAlignment="1">
      <alignment horizontal="center" vertical="top" wrapText="1"/>
    </xf>
    <xf numFmtId="0" fontId="0" fillId="5" borderId="73" xfId="0" applyFill="1" applyBorder="1" applyAlignment="1">
      <alignment horizontal="center" vertical="top" wrapText="1"/>
    </xf>
    <xf numFmtId="0" fontId="0" fillId="5" borderId="74" xfId="0" applyFill="1" applyBorder="1" applyAlignment="1">
      <alignment horizontal="center" vertical="top" wrapText="1"/>
    </xf>
    <xf numFmtId="0" fontId="0" fillId="5" borderId="75" xfId="0" applyFill="1" applyBorder="1" applyAlignment="1">
      <alignment horizontal="center" vertical="top" wrapText="1"/>
    </xf>
    <xf numFmtId="0" fontId="40" fillId="5" borderId="75" xfId="0" applyFont="1" applyFill="1" applyBorder="1" applyAlignment="1">
      <alignment horizontal="center" vertical="top"/>
    </xf>
    <xf numFmtId="0" fontId="39" fillId="5" borderId="75" xfId="0" applyFont="1" applyFill="1" applyBorder="1" applyAlignment="1">
      <alignment horizontal="center" vertical="top"/>
    </xf>
    <xf numFmtId="0" fontId="0" fillId="5" borderId="76" xfId="0" applyFill="1" applyBorder="1" applyAlignment="1">
      <alignment horizontal="center" vertical="top" wrapText="1"/>
    </xf>
    <xf numFmtId="0" fontId="9" fillId="24" borderId="77" xfId="0" applyFont="1" applyFill="1" applyBorder="1" applyAlignment="1">
      <alignment horizontal="center" vertical="center" wrapText="1"/>
    </xf>
    <xf numFmtId="0" fontId="9" fillId="24" borderId="78" xfId="0" applyFont="1" applyFill="1" applyBorder="1" applyAlignment="1">
      <alignment horizontal="center" vertical="center" wrapText="1"/>
    </xf>
    <xf numFmtId="0" fontId="9" fillId="24" borderId="79" xfId="0" applyFont="1" applyFill="1" applyBorder="1" applyAlignment="1">
      <alignment horizontal="center" vertical="center" wrapText="1"/>
    </xf>
    <xf numFmtId="0" fontId="38" fillId="14" borderId="80" xfId="0" applyFont="1" applyFill="1" applyBorder="1" applyAlignment="1">
      <alignment horizontal="center" vertical="top" wrapText="1"/>
    </xf>
    <xf numFmtId="0" fontId="38" fillId="14" borderId="81" xfId="0" applyFont="1" applyFill="1" applyBorder="1" applyAlignment="1">
      <alignment horizontal="center" vertical="top" wrapText="1"/>
    </xf>
    <xf numFmtId="0" fontId="38" fillId="5" borderId="80" xfId="0" applyFont="1" applyFill="1" applyBorder="1" applyAlignment="1">
      <alignment horizontal="center" vertical="top" wrapText="1"/>
    </xf>
    <xf numFmtId="0" fontId="38" fillId="5" borderId="81" xfId="0" applyFont="1" applyFill="1" applyBorder="1" applyAlignment="1">
      <alignment horizontal="center" vertical="top" wrapText="1"/>
    </xf>
    <xf numFmtId="0" fontId="0" fillId="5" borderId="80" xfId="0" applyFill="1" applyBorder="1" applyAlignment="1">
      <alignment horizontal="center" vertical="top" wrapText="1"/>
    </xf>
    <xf numFmtId="0" fontId="0" fillId="5" borderId="81" xfId="0" applyFill="1" applyBorder="1" applyAlignment="1">
      <alignment horizontal="center" vertical="top" wrapText="1"/>
    </xf>
    <xf numFmtId="0" fontId="0" fillId="5" borderId="82" xfId="0" applyFill="1" applyBorder="1" applyAlignment="1">
      <alignment horizontal="center" vertical="top" wrapText="1"/>
    </xf>
    <xf numFmtId="0" fontId="0" fillId="5" borderId="83" xfId="0" applyFill="1" applyBorder="1" applyAlignment="1">
      <alignment horizontal="center" vertical="top" wrapText="1"/>
    </xf>
    <xf numFmtId="0" fontId="40" fillId="5" borderId="83" xfId="0" applyFont="1" applyFill="1" applyBorder="1" applyAlignment="1">
      <alignment horizontal="center" vertical="top"/>
    </xf>
    <xf numFmtId="0" fontId="39" fillId="5" borderId="83" xfId="0" applyFont="1" applyFill="1" applyBorder="1" applyAlignment="1">
      <alignment horizontal="center" vertical="top"/>
    </xf>
    <xf numFmtId="0" fontId="0" fillId="5" borderId="84" xfId="0" applyFill="1" applyBorder="1" applyAlignment="1">
      <alignment horizontal="center" vertical="top" wrapText="1"/>
    </xf>
    <xf numFmtId="0" fontId="9" fillId="25" borderId="85" xfId="0" applyFont="1" applyFill="1" applyBorder="1" applyAlignment="1">
      <alignment horizontal="center" vertical="center" wrapText="1"/>
    </xf>
    <xf numFmtId="0" fontId="9" fillId="25" borderId="86" xfId="0" applyFont="1" applyFill="1" applyBorder="1" applyAlignment="1">
      <alignment horizontal="center" vertical="center" wrapText="1"/>
    </xf>
    <xf numFmtId="0" fontId="9" fillId="25" borderId="87" xfId="0" applyFont="1" applyFill="1" applyBorder="1" applyAlignment="1">
      <alignment horizontal="center" vertical="center" wrapText="1"/>
    </xf>
    <xf numFmtId="0" fontId="38" fillId="15" borderId="88" xfId="0" applyFont="1" applyFill="1" applyBorder="1" applyAlignment="1">
      <alignment horizontal="center" vertical="top" wrapText="1"/>
    </xf>
    <xf numFmtId="0" fontId="38" fillId="15" borderId="89" xfId="0" applyFont="1" applyFill="1" applyBorder="1" applyAlignment="1">
      <alignment horizontal="center" vertical="top" wrapText="1"/>
    </xf>
    <xf numFmtId="0" fontId="38" fillId="5" borderId="88" xfId="0" applyFont="1" applyFill="1" applyBorder="1" applyAlignment="1">
      <alignment horizontal="center" vertical="top" wrapText="1"/>
    </xf>
    <xf numFmtId="0" fontId="38" fillId="5" borderId="89" xfId="0" applyFont="1" applyFill="1" applyBorder="1" applyAlignment="1">
      <alignment horizontal="center" vertical="top" wrapText="1"/>
    </xf>
    <xf numFmtId="0" fontId="0" fillId="5" borderId="88" xfId="0" applyFill="1" applyBorder="1" applyAlignment="1">
      <alignment horizontal="center" vertical="top" wrapText="1"/>
    </xf>
    <xf numFmtId="0" fontId="0" fillId="5" borderId="89" xfId="0" applyFill="1" applyBorder="1" applyAlignment="1">
      <alignment horizontal="center" vertical="top" wrapText="1"/>
    </xf>
    <xf numFmtId="0" fontId="0" fillId="5" borderId="90" xfId="0" applyFill="1" applyBorder="1" applyAlignment="1">
      <alignment horizontal="center" vertical="top" wrapText="1"/>
    </xf>
    <xf numFmtId="0" fontId="0" fillId="5" borderId="91" xfId="0" applyFill="1" applyBorder="1" applyAlignment="1">
      <alignment horizontal="center" vertical="top" wrapText="1"/>
    </xf>
    <xf numFmtId="0" fontId="40" fillId="5" borderId="91" xfId="0" applyFont="1" applyFill="1" applyBorder="1" applyAlignment="1">
      <alignment horizontal="center" vertical="top"/>
    </xf>
    <xf numFmtId="0" fontId="39" fillId="5" borderId="91" xfId="0" applyFont="1" applyFill="1" applyBorder="1" applyAlignment="1">
      <alignment horizontal="center" vertical="top"/>
    </xf>
    <xf numFmtId="0" fontId="0" fillId="5" borderId="92" xfId="0" applyFill="1" applyBorder="1" applyAlignment="1">
      <alignment horizontal="center" vertical="top" wrapText="1"/>
    </xf>
    <xf numFmtId="0" fontId="9" fillId="26" borderId="93" xfId="0" applyFont="1" applyFill="1" applyBorder="1" applyAlignment="1">
      <alignment horizontal="center" vertical="center" wrapText="1"/>
    </xf>
    <xf numFmtId="0" fontId="9" fillId="26" borderId="94" xfId="0" applyFont="1" applyFill="1" applyBorder="1" applyAlignment="1">
      <alignment horizontal="center" vertical="center" wrapText="1"/>
    </xf>
    <xf numFmtId="0" fontId="9" fillId="26" borderId="95" xfId="0" applyFont="1" applyFill="1" applyBorder="1" applyAlignment="1">
      <alignment horizontal="center" vertical="center" wrapText="1"/>
    </xf>
    <xf numFmtId="0" fontId="38" fillId="8" borderId="96" xfId="0" applyFont="1" applyFill="1" applyBorder="1" applyAlignment="1">
      <alignment horizontal="center" vertical="top" wrapText="1"/>
    </xf>
    <xf numFmtId="0" fontId="38" fillId="8" borderId="97" xfId="0" applyFont="1" applyFill="1" applyBorder="1" applyAlignment="1">
      <alignment horizontal="center" vertical="top" wrapText="1"/>
    </xf>
    <xf numFmtId="0" fontId="38" fillId="5" borderId="96" xfId="0" applyFont="1" applyFill="1" applyBorder="1" applyAlignment="1">
      <alignment horizontal="center" vertical="top" wrapText="1"/>
    </xf>
    <xf numFmtId="0" fontId="38" fillId="5" borderId="97" xfId="0" applyFont="1" applyFill="1" applyBorder="1" applyAlignment="1">
      <alignment horizontal="center" vertical="top" wrapText="1"/>
    </xf>
    <xf numFmtId="0" fontId="0" fillId="5" borderId="96" xfId="0" applyFill="1" applyBorder="1" applyAlignment="1">
      <alignment horizontal="center" vertical="top" wrapText="1"/>
    </xf>
    <xf numFmtId="0" fontId="0" fillId="5" borderId="97" xfId="0" applyFill="1" applyBorder="1" applyAlignment="1">
      <alignment horizontal="center" vertical="top" wrapText="1"/>
    </xf>
    <xf numFmtId="0" fontId="0" fillId="5" borderId="98" xfId="0" applyFill="1" applyBorder="1" applyAlignment="1">
      <alignment horizontal="center" vertical="top" wrapText="1"/>
    </xf>
    <xf numFmtId="0" fontId="0" fillId="5" borderId="99" xfId="0" applyFill="1" applyBorder="1" applyAlignment="1">
      <alignment horizontal="center" vertical="top" wrapText="1"/>
    </xf>
    <xf numFmtId="0" fontId="40" fillId="5" borderId="99" xfId="0" applyFont="1" applyFill="1" applyBorder="1" applyAlignment="1">
      <alignment horizontal="center" vertical="top"/>
    </xf>
    <xf numFmtId="0" fontId="39" fillId="5" borderId="99" xfId="0" applyFont="1" applyFill="1" applyBorder="1" applyAlignment="1">
      <alignment horizontal="center" vertical="top"/>
    </xf>
    <xf numFmtId="0" fontId="0" fillId="5" borderId="100" xfId="0" applyFill="1" applyBorder="1" applyAlignment="1">
      <alignment horizontal="center" vertical="top" wrapText="1"/>
    </xf>
    <xf numFmtId="0" fontId="9" fillId="27" borderId="101" xfId="0" applyFont="1" applyFill="1" applyBorder="1" applyAlignment="1">
      <alignment horizontal="center" vertical="center" wrapText="1"/>
    </xf>
    <xf numFmtId="0" fontId="9" fillId="27" borderId="102" xfId="0" applyFont="1" applyFill="1" applyBorder="1" applyAlignment="1">
      <alignment horizontal="center" vertical="center" wrapText="1"/>
    </xf>
    <xf numFmtId="0" fontId="9" fillId="27" borderId="103" xfId="0" applyFont="1" applyFill="1" applyBorder="1" applyAlignment="1">
      <alignment horizontal="center" vertical="center" wrapText="1"/>
    </xf>
    <xf numFmtId="0" fontId="38" fillId="16" borderId="104" xfId="0" applyFont="1" applyFill="1" applyBorder="1" applyAlignment="1">
      <alignment horizontal="center" vertical="top" wrapText="1"/>
    </xf>
    <xf numFmtId="0" fontId="38" fillId="16" borderId="105" xfId="0" applyFont="1" applyFill="1" applyBorder="1" applyAlignment="1">
      <alignment horizontal="center" vertical="top" wrapText="1"/>
    </xf>
    <xf numFmtId="0" fontId="38" fillId="5" borderId="104" xfId="0" applyFont="1" applyFill="1" applyBorder="1" applyAlignment="1">
      <alignment horizontal="center" vertical="top" wrapText="1"/>
    </xf>
    <xf numFmtId="0" fontId="38" fillId="5" borderId="105" xfId="0" applyFont="1" applyFill="1" applyBorder="1" applyAlignment="1">
      <alignment horizontal="center" vertical="top" wrapText="1"/>
    </xf>
    <xf numFmtId="0" fontId="0" fillId="5" borderId="104" xfId="0" applyFill="1" applyBorder="1" applyAlignment="1">
      <alignment horizontal="center" vertical="top" wrapText="1"/>
    </xf>
    <xf numFmtId="0" fontId="0" fillId="5" borderId="105" xfId="0" applyFill="1" applyBorder="1" applyAlignment="1">
      <alignment horizontal="center" vertical="top" wrapText="1"/>
    </xf>
    <xf numFmtId="0" fontId="0" fillId="5" borderId="106" xfId="0" applyFill="1" applyBorder="1" applyAlignment="1">
      <alignment horizontal="center" vertical="top" wrapText="1"/>
    </xf>
    <xf numFmtId="0" fontId="0" fillId="5" borderId="107" xfId="0" applyFill="1" applyBorder="1" applyAlignment="1">
      <alignment horizontal="center" vertical="top" wrapText="1"/>
    </xf>
    <xf numFmtId="0" fontId="40" fillId="5" borderId="107" xfId="0" applyFont="1" applyFill="1" applyBorder="1" applyAlignment="1">
      <alignment horizontal="center" vertical="top"/>
    </xf>
    <xf numFmtId="0" fontId="39" fillId="5" borderId="107" xfId="0" applyFont="1" applyFill="1" applyBorder="1" applyAlignment="1">
      <alignment horizontal="center" vertical="top"/>
    </xf>
    <xf numFmtId="0" fontId="0" fillId="5" borderId="108" xfId="0" applyFill="1" applyBorder="1" applyAlignment="1">
      <alignment horizontal="center" vertical="top" wrapText="1"/>
    </xf>
    <xf numFmtId="0" fontId="26" fillId="8" borderId="5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33" fillId="5" borderId="5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center" vertical="center" wrapText="1"/>
    </xf>
    <xf numFmtId="0" fontId="35" fillId="5" borderId="5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left" vertical="center" wrapText="1"/>
    </xf>
    <xf numFmtId="0" fontId="36" fillId="16" borderId="5" xfId="0" applyFont="1" applyFill="1" applyBorder="1" applyAlignment="1">
      <alignment horizontal="center" vertical="center" wrapText="1"/>
    </xf>
    <xf numFmtId="0" fontId="36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0" fillId="16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9" fillId="28" borderId="109" xfId="0" applyFont="1" applyFill="1" applyBorder="1" applyAlignment="1">
      <alignment horizontal="center" vertical="center" wrapText="1"/>
    </xf>
    <xf numFmtId="0" fontId="9" fillId="28" borderId="110" xfId="0" applyFont="1" applyFill="1" applyBorder="1" applyAlignment="1">
      <alignment horizontal="center" vertical="center" wrapText="1"/>
    </xf>
    <xf numFmtId="0" fontId="9" fillId="28" borderId="111" xfId="0" applyFont="1" applyFill="1" applyBorder="1" applyAlignment="1">
      <alignment horizontal="center" vertical="center" wrapText="1"/>
    </xf>
    <xf numFmtId="0" fontId="42" fillId="15" borderId="112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center" vertical="center" wrapText="1"/>
    </xf>
    <xf numFmtId="0" fontId="43" fillId="15" borderId="1" xfId="0" applyFont="1" applyFill="1" applyBorder="1" applyAlignment="1">
      <alignment horizontal="left" vertical="center" wrapText="1"/>
    </xf>
    <xf numFmtId="0" fontId="44" fillId="15" borderId="113" xfId="0" applyFont="1" applyFill="1" applyBorder="1" applyAlignment="1">
      <alignment horizontal="center" vertical="center" wrapText="1"/>
    </xf>
    <xf numFmtId="0" fontId="42" fillId="5" borderId="112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43" fillId="5" borderId="1" xfId="0" applyFont="1" applyFill="1" applyBorder="1" applyAlignment="1">
      <alignment horizontal="left" vertical="center" wrapText="1"/>
    </xf>
    <xf numFmtId="0" fontId="44" fillId="5" borderId="113" xfId="0" applyFont="1" applyFill="1" applyBorder="1" applyAlignment="1">
      <alignment horizontal="center" vertical="center" wrapText="1"/>
    </xf>
    <xf numFmtId="0" fontId="42" fillId="9" borderId="112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left" vertical="center" wrapText="1"/>
    </xf>
    <xf numFmtId="0" fontId="44" fillId="9" borderId="113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left" vertical="center" wrapText="1"/>
    </xf>
    <xf numFmtId="0" fontId="42" fillId="8" borderId="112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 wrapText="1"/>
    </xf>
    <xf numFmtId="0" fontId="44" fillId="8" borderId="113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42" fillId="13" borderId="112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left" vertical="center" wrapText="1"/>
    </xf>
    <xf numFmtId="0" fontId="44" fillId="13" borderId="113" xfId="0" applyFont="1" applyFill="1" applyBorder="1" applyAlignment="1">
      <alignment horizontal="center" vertical="center" wrapText="1"/>
    </xf>
    <xf numFmtId="0" fontId="42" fillId="5" borderId="114" xfId="0" applyFont="1" applyFill="1" applyBorder="1" applyAlignment="1">
      <alignment horizontal="center" vertical="center" wrapText="1"/>
    </xf>
    <xf numFmtId="0" fontId="28" fillId="5" borderId="115" xfId="0" applyFont="1" applyFill="1" applyBorder="1" applyAlignment="1">
      <alignment horizontal="center" vertical="center" wrapText="1"/>
    </xf>
    <xf numFmtId="0" fontId="28" fillId="5" borderId="115" xfId="0" applyFont="1" applyFill="1" applyBorder="1" applyAlignment="1">
      <alignment horizontal="left" vertical="center" wrapText="1"/>
    </xf>
    <xf numFmtId="0" fontId="43" fillId="5" borderId="115" xfId="0" applyFont="1" applyFill="1" applyBorder="1" applyAlignment="1">
      <alignment horizontal="left" vertical="center" wrapText="1"/>
    </xf>
    <xf numFmtId="0" fontId="4" fillId="5" borderId="115" xfId="0" applyFont="1" applyFill="1" applyBorder="1" applyAlignment="1">
      <alignment horizontal="center" vertical="center" wrapText="1"/>
    </xf>
    <xf numFmtId="0" fontId="44" fillId="5" borderId="116" xfId="0" applyFont="1" applyFill="1" applyBorder="1" applyAlignment="1">
      <alignment horizontal="center" vertical="center" wrapText="1"/>
    </xf>
    <xf numFmtId="0" fontId="36" fillId="16" borderId="8" xfId="0" applyFont="1" applyFill="1" applyBorder="1" applyAlignment="1">
      <alignment horizontal="left" vertical="center" wrapText="1"/>
    </xf>
    <xf numFmtId="0" fontId="0" fillId="0" borderId="8" xfId="0" applyBorder="1"/>
    <xf numFmtId="0" fontId="30" fillId="12" borderId="1" xfId="0" applyFont="1" applyFill="1" applyBorder="1" applyAlignment="1">
      <alignment horizontal="left" vertical="center" wrapText="1"/>
    </xf>
    <xf numFmtId="0" fontId="0" fillId="0" borderId="1" xfId="0" applyBorder="1"/>
    <xf numFmtId="0" fontId="26" fillId="8" borderId="3" xfId="0" applyFont="1" applyFill="1" applyBorder="1" applyAlignment="1">
      <alignment horizontal="left" vertical="center" wrapText="1"/>
    </xf>
    <xf numFmtId="0" fontId="0" fillId="0" borderId="3" xfId="0" applyBorder="1"/>
    <xf numFmtId="0" fontId="4" fillId="5" borderId="3" xfId="0" applyFont="1" applyFill="1" applyBorder="1" applyAlignment="1">
      <alignment horizontal="left" vertical="center" wrapText="1"/>
    </xf>
    <xf numFmtId="0" fontId="0" fillId="0" borderId="4" xfId="0" applyBorder="1"/>
    <xf numFmtId="0" fontId="4" fillId="14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29" fillId="11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" fillId="16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20" fillId="2" borderId="0" xfId="0" applyFont="1" applyFill="1" applyAlignment="1">
      <alignment horizontal="center" vertical="center" wrapText="1"/>
    </xf>
    <xf numFmtId="0" fontId="0" fillId="0" borderId="0" xfId="0"/>
    <xf numFmtId="0" fontId="4" fillId="12" borderId="1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0" fontId="4" fillId="8" borderId="3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14" xfId="0" applyBorder="1"/>
    <xf numFmtId="0" fontId="4" fillId="13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33" fillId="14" borderId="1" xfId="0" applyFont="1" applyFill="1" applyBorder="1" applyAlignment="1">
      <alignment horizontal="left" vertical="center" wrapText="1"/>
    </xf>
    <xf numFmtId="0" fontId="28" fillId="10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35" fillId="8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4" fillId="5" borderId="1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34" fillId="15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41" fillId="2" borderId="0" xfId="0" applyFont="1" applyFill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8" fillId="28" borderId="0" xfId="0" applyFont="1" applyFill="1" applyAlignment="1">
      <alignment horizontal="center" vertical="center" wrapText="1"/>
    </xf>
    <xf numFmtId="0" fontId="45" fillId="2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  <xf numFmtId="0" fontId="0" fillId="29" borderId="0" xfId="0" applyFill="1"/>
    <xf numFmtId="0" fontId="46" fillId="2" borderId="0" xfId="0" applyFont="1" applyFill="1" applyAlignment="1">
      <alignment horizontal="center" vertical="center" wrapText="1"/>
    </xf>
    <xf numFmtId="0" fontId="47" fillId="0" borderId="0" xfId="0" applyFont="1"/>
  </cellXfs>
  <cellStyles count="1">
    <cellStyle name="Normal" xfId="0" builtinId="0"/>
  </cellStyles>
  <dxfs count="120"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  <dxf>
      <font>
        <b/>
        <sz val="9"/>
        <color rgb="FF27AE60"/>
        <name val="Arial"/>
      </font>
      <fill>
        <patternFill>
          <fgColor rgb="FFD5F5E3"/>
        </patternFill>
      </fill>
    </dxf>
    <dxf>
      <font>
        <b/>
        <sz val="9"/>
        <color rgb="FFF39C12"/>
        <name val="Arial"/>
      </font>
      <fill>
        <patternFill>
          <fgColor rgb="FFFFFDE7"/>
        </patternFill>
      </fill>
    </dxf>
    <dxf>
      <font>
        <b/>
        <sz val="9"/>
        <color rgb="FFE67E22"/>
        <name val="Arial"/>
      </font>
      <fill>
        <patternFill>
          <fgColor rgb="FFFEF9E7"/>
        </patternFill>
      </fill>
    </dxf>
    <dxf>
      <font>
        <b/>
        <sz val="9"/>
        <color rgb="FFC0392B"/>
        <name val="Arial"/>
      </font>
      <fill>
        <patternFill>
          <fgColor rgb="FFFDEBD0"/>
        </patternFill>
      </fill>
    </dxf>
    <dxf>
      <font>
        <b/>
        <sz val="9"/>
        <color rgb="FF8B0000"/>
        <name val="Arial"/>
      </font>
      <fill>
        <patternFill>
          <f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50"/>
  <sheetViews>
    <sheetView showGridLines="0" zoomScale="167" workbookViewId="0">
      <selection activeCell="D5" sqref="D5"/>
    </sheetView>
  </sheetViews>
  <sheetFormatPr defaultColWidth="8.81640625" defaultRowHeight="14.5"/>
  <cols>
    <col min="1" max="1" width="2" customWidth="1"/>
    <col min="2" max="2" width="13.6328125" customWidth="1"/>
    <col min="3" max="3" width="12" customWidth="1"/>
    <col min="4" max="7" width="10" customWidth="1"/>
    <col min="8" max="8" width="22" customWidth="1"/>
    <col min="9" max="9" width="2" customWidth="1"/>
  </cols>
  <sheetData>
    <row r="2" spans="2:8" ht="24" customHeight="1">
      <c r="B2" s="452" t="s">
        <v>435</v>
      </c>
      <c r="C2" s="420"/>
      <c r="D2" s="420"/>
      <c r="E2" s="420"/>
      <c r="F2" s="420"/>
      <c r="G2" s="420"/>
      <c r="H2" s="420"/>
    </row>
    <row r="3" spans="2:8" ht="22" customHeight="1">
      <c r="B3" s="453" t="s">
        <v>0</v>
      </c>
      <c r="C3" s="454"/>
      <c r="D3" s="454"/>
      <c r="E3" s="454"/>
      <c r="F3" s="454"/>
      <c r="G3" s="454"/>
      <c r="H3" s="454"/>
    </row>
    <row r="4" spans="2:8" ht="22" customHeight="1">
      <c r="B4" s="438" t="s">
        <v>1</v>
      </c>
      <c r="C4" s="420"/>
      <c r="D4" s="420"/>
      <c r="E4" s="420"/>
      <c r="F4" s="420"/>
      <c r="G4" s="420"/>
      <c r="H4" s="420"/>
    </row>
    <row r="5" spans="2:8" ht="10" customHeight="1"/>
    <row r="6" spans="2:8" ht="20" customHeight="1">
      <c r="B6" s="1" t="s">
        <v>2</v>
      </c>
      <c r="C6" s="410" t="s">
        <v>3</v>
      </c>
      <c r="D6" s="409"/>
      <c r="E6" s="409"/>
      <c r="F6" s="409"/>
      <c r="G6" s="409"/>
      <c r="H6" s="411"/>
    </row>
    <row r="7" spans="2:8" ht="20" customHeight="1">
      <c r="B7" s="2" t="s">
        <v>4</v>
      </c>
      <c r="C7" s="427" t="s">
        <v>5</v>
      </c>
      <c r="D7" s="407"/>
      <c r="E7" s="407"/>
      <c r="F7" s="407"/>
      <c r="G7" s="407"/>
      <c r="H7" s="413"/>
    </row>
    <row r="8" spans="2:8" ht="20" customHeight="1">
      <c r="B8" s="2" t="s">
        <v>6</v>
      </c>
      <c r="C8" s="427" t="s">
        <v>7</v>
      </c>
      <c r="D8" s="407"/>
      <c r="E8" s="407"/>
      <c r="F8" s="407"/>
      <c r="G8" s="407"/>
      <c r="H8" s="413"/>
    </row>
    <row r="9" spans="2:8" ht="20" customHeight="1">
      <c r="B9" s="2" t="s">
        <v>8</v>
      </c>
      <c r="C9" s="427" t="s">
        <v>9</v>
      </c>
      <c r="D9" s="407"/>
      <c r="E9" s="407"/>
      <c r="F9" s="407"/>
      <c r="G9" s="407"/>
      <c r="H9" s="413"/>
    </row>
    <row r="10" spans="2:8" ht="20" customHeight="1">
      <c r="B10" s="2" t="s">
        <v>10</v>
      </c>
      <c r="C10" s="427"/>
      <c r="D10" s="407"/>
      <c r="E10" s="407"/>
      <c r="F10" s="407"/>
      <c r="G10" s="407"/>
      <c r="H10" s="413"/>
    </row>
    <row r="11" spans="2:8" ht="20" customHeight="1">
      <c r="B11" s="2" t="s">
        <v>11</v>
      </c>
      <c r="C11" s="427"/>
      <c r="D11" s="407"/>
      <c r="E11" s="407"/>
      <c r="F11" s="407"/>
      <c r="G11" s="407"/>
      <c r="H11" s="413"/>
    </row>
    <row r="12" spans="2:8" ht="20" customHeight="1">
      <c r="B12" s="2" t="s">
        <v>12</v>
      </c>
      <c r="C12" s="427" t="s">
        <v>13</v>
      </c>
      <c r="D12" s="407"/>
      <c r="E12" s="407"/>
      <c r="F12" s="407"/>
      <c r="G12" s="407"/>
      <c r="H12" s="413"/>
    </row>
    <row r="13" spans="2:8" ht="20" customHeight="1">
      <c r="B13" s="5" t="s">
        <v>14</v>
      </c>
      <c r="C13" s="436" t="s">
        <v>15</v>
      </c>
      <c r="D13" s="405"/>
      <c r="E13" s="405"/>
      <c r="F13" s="405"/>
      <c r="G13" s="405"/>
      <c r="H13" s="418"/>
    </row>
    <row r="14" spans="2:8" ht="10" customHeight="1"/>
    <row r="15" spans="2:8" ht="24" customHeight="1">
      <c r="B15" s="445" t="s">
        <v>16</v>
      </c>
      <c r="C15" s="420"/>
      <c r="D15" s="420"/>
      <c r="E15" s="420"/>
      <c r="F15" s="420"/>
      <c r="G15" s="420"/>
      <c r="H15" s="420"/>
    </row>
    <row r="16" spans="2:8" ht="30" customHeight="1">
      <c r="B16" s="439" t="s">
        <v>17</v>
      </c>
      <c r="C16" s="420"/>
      <c r="D16" s="420"/>
      <c r="E16" s="420"/>
      <c r="F16" s="420"/>
      <c r="G16" s="420"/>
      <c r="H16" s="420"/>
    </row>
    <row r="17" spans="2:8" ht="22" customHeight="1">
      <c r="B17" s="6" t="s">
        <v>18</v>
      </c>
      <c r="C17" s="440" t="s">
        <v>19</v>
      </c>
      <c r="D17" s="441"/>
      <c r="E17" s="441"/>
      <c r="F17" s="441"/>
      <c r="G17" s="441"/>
      <c r="H17" s="442"/>
    </row>
    <row r="18" spans="2:8" ht="22" customHeight="1">
      <c r="B18" s="7" t="s">
        <v>20</v>
      </c>
      <c r="C18" s="427" t="s">
        <v>21</v>
      </c>
      <c r="D18" s="407"/>
      <c r="E18" s="407"/>
      <c r="F18" s="407"/>
      <c r="G18" s="407"/>
      <c r="H18" s="428"/>
    </row>
    <row r="19" spans="2:8" ht="22" customHeight="1">
      <c r="B19" s="7" t="s">
        <v>22</v>
      </c>
      <c r="C19" s="427" t="s">
        <v>23</v>
      </c>
      <c r="D19" s="407"/>
      <c r="E19" s="407"/>
      <c r="F19" s="407"/>
      <c r="G19" s="407"/>
      <c r="H19" s="428"/>
    </row>
    <row r="20" spans="2:8" ht="22" customHeight="1">
      <c r="B20" s="8" t="s">
        <v>24</v>
      </c>
      <c r="C20" s="422" t="s">
        <v>25</v>
      </c>
      <c r="D20" s="423"/>
      <c r="E20" s="423"/>
      <c r="F20" s="423"/>
      <c r="G20" s="423"/>
      <c r="H20" s="424"/>
    </row>
    <row r="21" spans="2:8" ht="10" customHeight="1"/>
    <row r="22" spans="2:8" ht="22" customHeight="1">
      <c r="B22" s="433" t="s">
        <v>26</v>
      </c>
      <c r="C22" s="420"/>
      <c r="D22" s="420"/>
      <c r="E22" s="420"/>
      <c r="F22" s="420"/>
      <c r="G22" s="420"/>
      <c r="H22" s="420"/>
    </row>
    <row r="23" spans="2:8" ht="36" customHeight="1">
      <c r="B23" s="9" t="s">
        <v>27</v>
      </c>
      <c r="C23" s="9" t="s">
        <v>28</v>
      </c>
      <c r="D23" s="9" t="s">
        <v>29</v>
      </c>
      <c r="E23" s="9" t="s">
        <v>30</v>
      </c>
      <c r="F23" s="9" t="s">
        <v>31</v>
      </c>
      <c r="G23" s="9" t="s">
        <v>32</v>
      </c>
      <c r="H23" s="9" t="s">
        <v>33</v>
      </c>
    </row>
    <row r="24" spans="2:8" ht="36" customHeight="1">
      <c r="B24" s="10">
        <v>1</v>
      </c>
      <c r="C24" s="11" t="s">
        <v>34</v>
      </c>
      <c r="D24" s="11" t="s">
        <v>35</v>
      </c>
      <c r="E24" s="11" t="s">
        <v>36</v>
      </c>
      <c r="F24" s="12" t="s">
        <v>37</v>
      </c>
      <c r="G24" s="11" t="s">
        <v>38</v>
      </c>
      <c r="H24" s="13" t="s">
        <v>39</v>
      </c>
    </row>
    <row r="25" spans="2:8" ht="36" customHeight="1">
      <c r="B25" s="14">
        <v>2</v>
      </c>
      <c r="C25" s="15" t="s">
        <v>40</v>
      </c>
      <c r="D25" s="15" t="s">
        <v>41</v>
      </c>
      <c r="E25" s="15" t="s">
        <v>42</v>
      </c>
      <c r="F25" s="16" t="s">
        <v>43</v>
      </c>
      <c r="G25" s="15" t="s">
        <v>44</v>
      </c>
      <c r="H25" s="17" t="s">
        <v>39</v>
      </c>
    </row>
    <row r="26" spans="2:8" ht="36" customHeight="1">
      <c r="B26" s="18">
        <v>3</v>
      </c>
      <c r="C26" s="19" t="s">
        <v>45</v>
      </c>
      <c r="D26" s="19" t="s">
        <v>46</v>
      </c>
      <c r="E26" s="19" t="s">
        <v>47</v>
      </c>
      <c r="F26" s="20" t="s">
        <v>48</v>
      </c>
      <c r="G26" s="19" t="s">
        <v>49</v>
      </c>
      <c r="H26" s="21" t="s">
        <v>39</v>
      </c>
    </row>
    <row r="27" spans="2:8" ht="36" customHeight="1">
      <c r="B27" s="14">
        <v>4</v>
      </c>
      <c r="C27" s="15" t="s">
        <v>50</v>
      </c>
      <c r="D27" s="15" t="s">
        <v>51</v>
      </c>
      <c r="E27" s="15" t="s">
        <v>52</v>
      </c>
      <c r="F27" s="22" t="s">
        <v>53</v>
      </c>
      <c r="G27" s="15" t="s">
        <v>54</v>
      </c>
      <c r="H27" s="23" t="s">
        <v>39</v>
      </c>
    </row>
    <row r="28" spans="2:8" ht="36" customHeight="1">
      <c r="B28" s="24">
        <v>5</v>
      </c>
      <c r="C28" s="25" t="s">
        <v>55</v>
      </c>
      <c r="D28" s="25" t="s">
        <v>56</v>
      </c>
      <c r="E28" s="25" t="s">
        <v>57</v>
      </c>
      <c r="F28" s="26" t="s">
        <v>58</v>
      </c>
      <c r="G28" s="25" t="s">
        <v>59</v>
      </c>
      <c r="H28" s="27" t="s">
        <v>39</v>
      </c>
    </row>
    <row r="29" spans="2:8" ht="18" customHeight="1">
      <c r="B29" s="419" t="s">
        <v>60</v>
      </c>
      <c r="C29" s="420"/>
      <c r="D29" s="420"/>
      <c r="E29" s="420"/>
      <c r="F29" s="420"/>
      <c r="G29" s="420"/>
      <c r="H29" s="420"/>
    </row>
    <row r="30" spans="2:8" ht="10" customHeight="1"/>
    <row r="31" spans="2:8" ht="22" customHeight="1">
      <c r="B31" s="433" t="s">
        <v>61</v>
      </c>
      <c r="C31" s="420"/>
      <c r="D31" s="420"/>
      <c r="E31" s="420"/>
      <c r="F31" s="420"/>
      <c r="G31" s="420"/>
      <c r="H31" s="420"/>
    </row>
    <row r="32" spans="2:8" ht="36" customHeight="1">
      <c r="B32" s="9" t="s">
        <v>62</v>
      </c>
      <c r="C32" s="9" t="s">
        <v>32</v>
      </c>
      <c r="D32" s="9" t="s">
        <v>33</v>
      </c>
      <c r="E32" s="9" t="s">
        <v>63</v>
      </c>
      <c r="F32" s="9" t="s">
        <v>64</v>
      </c>
      <c r="G32" s="9" t="s">
        <v>65</v>
      </c>
      <c r="H32" s="9" t="s">
        <v>66</v>
      </c>
    </row>
    <row r="33" spans="2:8" ht="24" customHeight="1">
      <c r="B33" s="28" t="s">
        <v>58</v>
      </c>
      <c r="C33" s="29" t="s">
        <v>54</v>
      </c>
      <c r="D33" s="29" t="s">
        <v>39</v>
      </c>
      <c r="E33" s="11" t="s">
        <v>67</v>
      </c>
      <c r="F33" s="11" t="s">
        <v>68</v>
      </c>
      <c r="G33" s="11" t="s">
        <v>69</v>
      </c>
      <c r="H33" s="30" t="s">
        <v>70</v>
      </c>
    </row>
    <row r="34" spans="2:8" ht="24" customHeight="1">
      <c r="B34" s="31" t="s">
        <v>53</v>
      </c>
      <c r="C34" s="32" t="s">
        <v>49</v>
      </c>
      <c r="D34" s="32" t="s">
        <v>39</v>
      </c>
      <c r="E34" s="15" t="s">
        <v>71</v>
      </c>
      <c r="F34" s="15" t="s">
        <v>72</v>
      </c>
      <c r="G34" s="15" t="s">
        <v>73</v>
      </c>
      <c r="H34" s="33" t="s">
        <v>74</v>
      </c>
    </row>
    <row r="35" spans="2:8" ht="24" customHeight="1">
      <c r="B35" s="34" t="s">
        <v>48</v>
      </c>
      <c r="C35" s="35" t="s">
        <v>75</v>
      </c>
      <c r="D35" s="35" t="s">
        <v>39</v>
      </c>
      <c r="E35" s="19" t="s">
        <v>76</v>
      </c>
      <c r="F35" s="19" t="s">
        <v>77</v>
      </c>
      <c r="G35" s="19" t="s">
        <v>78</v>
      </c>
      <c r="H35" s="36" t="s">
        <v>79</v>
      </c>
    </row>
    <row r="36" spans="2:8" ht="24" customHeight="1">
      <c r="B36" s="37" t="s">
        <v>43</v>
      </c>
      <c r="C36" s="38" t="s">
        <v>80</v>
      </c>
      <c r="D36" s="38" t="s">
        <v>39</v>
      </c>
      <c r="E36" s="15" t="s">
        <v>81</v>
      </c>
      <c r="F36" s="15" t="s">
        <v>77</v>
      </c>
      <c r="G36" s="15" t="s">
        <v>82</v>
      </c>
      <c r="H36" s="33" t="s">
        <v>83</v>
      </c>
    </row>
    <row r="37" spans="2:8" ht="24" customHeight="1">
      <c r="B37" s="39" t="s">
        <v>37</v>
      </c>
      <c r="C37" s="40" t="s">
        <v>84</v>
      </c>
      <c r="D37" s="40" t="s">
        <v>39</v>
      </c>
      <c r="E37" s="25" t="s">
        <v>85</v>
      </c>
      <c r="F37" s="25" t="s">
        <v>77</v>
      </c>
      <c r="G37" s="25" t="s">
        <v>86</v>
      </c>
      <c r="H37" s="41" t="s">
        <v>87</v>
      </c>
    </row>
    <row r="38" spans="2:8" ht="10" customHeight="1"/>
    <row r="39" spans="2:8" ht="22" customHeight="1">
      <c r="B39" s="433" t="s">
        <v>88</v>
      </c>
      <c r="C39" s="420"/>
      <c r="D39" s="420"/>
      <c r="E39" s="420"/>
      <c r="F39" s="420"/>
      <c r="G39" s="420"/>
      <c r="H39" s="420"/>
    </row>
    <row r="40" spans="2:8" ht="22" customHeight="1">
      <c r="B40" s="42" t="s">
        <v>89</v>
      </c>
      <c r="C40" s="408" t="s">
        <v>90</v>
      </c>
      <c r="D40" s="409"/>
      <c r="E40" s="409"/>
      <c r="F40" s="409"/>
      <c r="G40" s="425" t="s">
        <v>91</v>
      </c>
      <c r="H40" s="411"/>
    </row>
    <row r="41" spans="2:8" ht="22" customHeight="1">
      <c r="B41" s="43" t="s">
        <v>92</v>
      </c>
      <c r="C41" s="430" t="s">
        <v>93</v>
      </c>
      <c r="D41" s="407"/>
      <c r="E41" s="407"/>
      <c r="F41" s="407"/>
      <c r="G41" s="415" t="s">
        <v>94</v>
      </c>
      <c r="H41" s="413"/>
    </row>
    <row r="42" spans="2:8" ht="22" customHeight="1">
      <c r="B42" s="46" t="s">
        <v>95</v>
      </c>
      <c r="C42" s="432" t="s">
        <v>96</v>
      </c>
      <c r="D42" s="407"/>
      <c r="E42" s="407"/>
      <c r="F42" s="407"/>
      <c r="G42" s="444" t="s">
        <v>97</v>
      </c>
      <c r="H42" s="413"/>
    </row>
    <row r="43" spans="2:8" ht="22" customHeight="1">
      <c r="B43" s="49" t="s">
        <v>98</v>
      </c>
      <c r="C43" s="414" t="s">
        <v>99</v>
      </c>
      <c r="D43" s="407"/>
      <c r="E43" s="407"/>
      <c r="F43" s="407"/>
      <c r="G43" s="426" t="s">
        <v>94</v>
      </c>
      <c r="H43" s="413"/>
    </row>
    <row r="44" spans="2:8" ht="22" customHeight="1">
      <c r="B44" s="51" t="s">
        <v>100</v>
      </c>
      <c r="C44" s="406" t="s">
        <v>101</v>
      </c>
      <c r="D44" s="407"/>
      <c r="E44" s="407"/>
      <c r="F44" s="407"/>
      <c r="G44" s="421" t="s">
        <v>102</v>
      </c>
      <c r="H44" s="413"/>
    </row>
    <row r="45" spans="2:8" ht="22" customHeight="1">
      <c r="B45" s="54" t="s">
        <v>103</v>
      </c>
      <c r="C45" s="435" t="s">
        <v>104</v>
      </c>
      <c r="D45" s="407"/>
      <c r="E45" s="407"/>
      <c r="F45" s="407"/>
      <c r="G45" s="429" t="s">
        <v>97</v>
      </c>
      <c r="H45" s="413"/>
    </row>
    <row r="46" spans="2:8" ht="22" customHeight="1">
      <c r="B46" s="57" t="s">
        <v>105</v>
      </c>
      <c r="C46" s="416" t="s">
        <v>106</v>
      </c>
      <c r="D46" s="407"/>
      <c r="E46" s="407"/>
      <c r="F46" s="407"/>
      <c r="G46" s="426" t="s">
        <v>102</v>
      </c>
      <c r="H46" s="413"/>
    </row>
    <row r="47" spans="2:8" ht="22" customHeight="1">
      <c r="B47" s="59" t="s">
        <v>107</v>
      </c>
      <c r="C47" s="431" t="s">
        <v>108</v>
      </c>
      <c r="D47" s="407"/>
      <c r="E47" s="407"/>
      <c r="F47" s="407"/>
      <c r="G47" s="412" t="s">
        <v>102</v>
      </c>
      <c r="H47" s="413"/>
    </row>
    <row r="48" spans="2:8" ht="22" customHeight="1">
      <c r="B48" s="60" t="s">
        <v>109</v>
      </c>
      <c r="C48" s="443" t="s">
        <v>110</v>
      </c>
      <c r="D48" s="407"/>
      <c r="E48" s="407"/>
      <c r="F48" s="407"/>
      <c r="G48" s="446" t="s">
        <v>97</v>
      </c>
      <c r="H48" s="413"/>
    </row>
    <row r="49" spans="2:8" ht="22" customHeight="1">
      <c r="B49" s="63" t="s">
        <v>111</v>
      </c>
      <c r="C49" s="437" t="s">
        <v>112</v>
      </c>
      <c r="D49" s="407"/>
      <c r="E49" s="407"/>
      <c r="F49" s="407"/>
      <c r="G49" s="434" t="s">
        <v>97</v>
      </c>
      <c r="H49" s="413"/>
    </row>
    <row r="50" spans="2:8" ht="22" customHeight="1">
      <c r="B50" s="65" t="s">
        <v>113</v>
      </c>
      <c r="C50" s="404" t="s">
        <v>114</v>
      </c>
      <c r="D50" s="405"/>
      <c r="E50" s="405"/>
      <c r="F50" s="405"/>
      <c r="G50" s="417" t="s">
        <v>102</v>
      </c>
      <c r="H50" s="418"/>
    </row>
  </sheetData>
  <mergeCells count="43">
    <mergeCell ref="C9:H9"/>
    <mergeCell ref="G42:H42"/>
    <mergeCell ref="B15:H15"/>
    <mergeCell ref="C12:H12"/>
    <mergeCell ref="G48:H48"/>
    <mergeCell ref="C11:H11"/>
    <mergeCell ref="B16:H16"/>
    <mergeCell ref="C17:H17"/>
    <mergeCell ref="C10:H10"/>
    <mergeCell ref="G43:H43"/>
    <mergeCell ref="C48:F48"/>
    <mergeCell ref="B2:H2"/>
    <mergeCell ref="C18:H18"/>
    <mergeCell ref="G45:H45"/>
    <mergeCell ref="C41:F41"/>
    <mergeCell ref="C47:F47"/>
    <mergeCell ref="B3:H3"/>
    <mergeCell ref="C42:F42"/>
    <mergeCell ref="C7:H7"/>
    <mergeCell ref="B31:H31"/>
    <mergeCell ref="B22:H22"/>
    <mergeCell ref="C19:H19"/>
    <mergeCell ref="C45:F45"/>
    <mergeCell ref="C13:H13"/>
    <mergeCell ref="B39:H39"/>
    <mergeCell ref="B4:H4"/>
    <mergeCell ref="C8:H8"/>
    <mergeCell ref="C50:F50"/>
    <mergeCell ref="C44:F44"/>
    <mergeCell ref="C40:F40"/>
    <mergeCell ref="C6:H6"/>
    <mergeCell ref="G47:H47"/>
    <mergeCell ref="C43:F43"/>
    <mergeCell ref="G41:H41"/>
    <mergeCell ref="C46:F46"/>
    <mergeCell ref="G50:H50"/>
    <mergeCell ref="B29:H29"/>
    <mergeCell ref="G44:H44"/>
    <mergeCell ref="C20:H20"/>
    <mergeCell ref="G40:H40"/>
    <mergeCell ref="G46:H46"/>
    <mergeCell ref="G49:H49"/>
    <mergeCell ref="C49:F49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P49"/>
  <sheetViews>
    <sheetView showGridLines="0" tabSelected="1" workbookViewId="0">
      <pane xSplit="4" ySplit="5" topLeftCell="E6" activePane="bottomRight" state="frozen"/>
      <selection pane="topRight"/>
      <selection pane="bottomLeft"/>
      <selection pane="bottomRight" activeCell="B3" sqref="B3:P3"/>
    </sheetView>
  </sheetViews>
  <sheetFormatPr defaultColWidth="8.81640625" defaultRowHeight="14.5"/>
  <cols>
    <col min="1" max="1" width="2" customWidth="1"/>
    <col min="2" max="2" width="4" customWidth="1"/>
    <col min="3" max="3" width="5" customWidth="1"/>
    <col min="4" max="5" width="22" customWidth="1"/>
    <col min="6" max="6" width="36" customWidth="1"/>
    <col min="7" max="9" width="5" customWidth="1"/>
    <col min="10" max="10" width="6" customWidth="1"/>
    <col min="11" max="11" width="12" customWidth="1"/>
    <col min="12" max="13" width="30" customWidth="1"/>
    <col min="14" max="14" width="18" customWidth="1"/>
    <col min="15" max="15" width="16" customWidth="1"/>
    <col min="16" max="16" width="14" customWidth="1"/>
    <col min="17" max="17" width="2" customWidth="1"/>
  </cols>
  <sheetData>
    <row r="2" spans="2:16" ht="24" customHeight="1">
      <c r="B2" s="455" t="s">
        <v>436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</row>
    <row r="3" spans="2:16" ht="18" customHeight="1">
      <c r="B3" s="438" t="s">
        <v>115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</row>
    <row r="4" spans="2:16" ht="8" customHeight="1"/>
    <row r="5" spans="2:16" ht="46" customHeight="1">
      <c r="B5" s="66" t="s">
        <v>116</v>
      </c>
      <c r="C5" s="67" t="s">
        <v>117</v>
      </c>
      <c r="D5" s="67" t="s">
        <v>118</v>
      </c>
      <c r="E5" s="67" t="s">
        <v>119</v>
      </c>
      <c r="F5" s="67" t="s">
        <v>120</v>
      </c>
      <c r="G5" s="67" t="s">
        <v>121</v>
      </c>
      <c r="H5" s="67" t="s">
        <v>122</v>
      </c>
      <c r="I5" s="67" t="s">
        <v>123</v>
      </c>
      <c r="J5" s="67" t="s">
        <v>124</v>
      </c>
      <c r="K5" s="67" t="s">
        <v>125</v>
      </c>
      <c r="L5" s="67" t="s">
        <v>126</v>
      </c>
      <c r="M5" s="67" t="s">
        <v>127</v>
      </c>
      <c r="N5" s="67" t="s">
        <v>128</v>
      </c>
      <c r="O5" s="67" t="s">
        <v>129</v>
      </c>
      <c r="P5" s="68" t="s">
        <v>130</v>
      </c>
    </row>
    <row r="6" spans="2:16" ht="64" customHeight="1">
      <c r="B6" s="69" t="s">
        <v>131</v>
      </c>
      <c r="C6" s="70" t="s">
        <v>89</v>
      </c>
      <c r="D6" s="71" t="s">
        <v>90</v>
      </c>
      <c r="E6" s="72" t="s">
        <v>132</v>
      </c>
      <c r="F6" s="71" t="s">
        <v>133</v>
      </c>
      <c r="G6" s="73">
        <v>4</v>
      </c>
      <c r="H6" s="73">
        <v>4</v>
      </c>
      <c r="I6" s="73">
        <v>3</v>
      </c>
      <c r="J6" s="74">
        <f t="shared" ref="J6:J49" si="0">G6*H6*I6</f>
        <v>48</v>
      </c>
      <c r="K6" s="75" t="str">
        <f t="shared" ref="K6:K49" si="1">IF(J6="","",IF(J6&gt;=80,"SANGAT TINGGI",IF(J6&gt;=40,"TINGGI",IF(J6&gt;=20,"SEDANG",IF(J6&gt;=10,"RENDAH","SANGAT RENDAH")))))</f>
        <v>TINGGI</v>
      </c>
      <c r="L6" s="71" t="s">
        <v>134</v>
      </c>
      <c r="M6" s="71" t="s">
        <v>135</v>
      </c>
      <c r="N6" s="71" t="s">
        <v>136</v>
      </c>
      <c r="O6" s="73"/>
      <c r="P6" s="76" t="s">
        <v>137</v>
      </c>
    </row>
    <row r="7" spans="2:16" ht="64" customHeight="1">
      <c r="B7" s="77" t="s">
        <v>138</v>
      </c>
      <c r="C7" s="78" t="s">
        <v>89</v>
      </c>
      <c r="D7" s="79" t="s">
        <v>90</v>
      </c>
      <c r="E7" s="80" t="s">
        <v>139</v>
      </c>
      <c r="F7" s="79" t="s">
        <v>140</v>
      </c>
      <c r="G7" s="81">
        <v>4</v>
      </c>
      <c r="H7" s="81">
        <v>3</v>
      </c>
      <c r="I7" s="81">
        <v>3</v>
      </c>
      <c r="J7" s="82">
        <f t="shared" si="0"/>
        <v>36</v>
      </c>
      <c r="K7" s="83" t="str">
        <f t="shared" si="1"/>
        <v>SEDANG</v>
      </c>
      <c r="L7" s="79" t="s">
        <v>141</v>
      </c>
      <c r="M7" s="79" t="s">
        <v>142</v>
      </c>
      <c r="N7" s="79" t="s">
        <v>143</v>
      </c>
      <c r="O7" s="81"/>
      <c r="P7" s="84" t="s">
        <v>137</v>
      </c>
    </row>
    <row r="8" spans="2:16" ht="64" customHeight="1">
      <c r="B8" s="69" t="s">
        <v>144</v>
      </c>
      <c r="C8" s="70" t="s">
        <v>89</v>
      </c>
      <c r="D8" s="71" t="s">
        <v>90</v>
      </c>
      <c r="E8" s="72" t="s">
        <v>145</v>
      </c>
      <c r="F8" s="71" t="s">
        <v>146</v>
      </c>
      <c r="G8" s="73">
        <v>3</v>
      </c>
      <c r="H8" s="73">
        <v>5</v>
      </c>
      <c r="I8" s="73">
        <v>3</v>
      </c>
      <c r="J8" s="74">
        <f t="shared" si="0"/>
        <v>45</v>
      </c>
      <c r="K8" s="75" t="str">
        <f t="shared" si="1"/>
        <v>TINGGI</v>
      </c>
      <c r="L8" s="71" t="s">
        <v>147</v>
      </c>
      <c r="M8" s="71" t="s">
        <v>148</v>
      </c>
      <c r="N8" s="71" t="s">
        <v>149</v>
      </c>
      <c r="O8" s="73"/>
      <c r="P8" s="76" t="s">
        <v>137</v>
      </c>
    </row>
    <row r="9" spans="2:16" ht="64" customHeight="1">
      <c r="B9" s="77" t="s">
        <v>150</v>
      </c>
      <c r="C9" s="78" t="s">
        <v>89</v>
      </c>
      <c r="D9" s="79" t="s">
        <v>90</v>
      </c>
      <c r="E9" s="80" t="s">
        <v>151</v>
      </c>
      <c r="F9" s="79" t="s">
        <v>152</v>
      </c>
      <c r="G9" s="81">
        <v>3</v>
      </c>
      <c r="H9" s="81">
        <v>5</v>
      </c>
      <c r="I9" s="81">
        <v>3</v>
      </c>
      <c r="J9" s="82">
        <f t="shared" si="0"/>
        <v>45</v>
      </c>
      <c r="K9" s="83" t="str">
        <f t="shared" si="1"/>
        <v>TINGGI</v>
      </c>
      <c r="L9" s="79" t="s">
        <v>153</v>
      </c>
      <c r="M9" s="79" t="s">
        <v>154</v>
      </c>
      <c r="N9" s="79" t="s">
        <v>149</v>
      </c>
      <c r="O9" s="81"/>
      <c r="P9" s="84" t="s">
        <v>137</v>
      </c>
    </row>
    <row r="10" spans="2:16" ht="64" customHeight="1">
      <c r="B10" s="69" t="s">
        <v>155</v>
      </c>
      <c r="C10" s="70" t="s">
        <v>89</v>
      </c>
      <c r="D10" s="71" t="s">
        <v>90</v>
      </c>
      <c r="E10" s="72" t="s">
        <v>156</v>
      </c>
      <c r="F10" s="71" t="s">
        <v>157</v>
      </c>
      <c r="G10" s="73">
        <v>3</v>
      </c>
      <c r="H10" s="73">
        <v>4</v>
      </c>
      <c r="I10" s="73">
        <v>3</v>
      </c>
      <c r="J10" s="74">
        <f t="shared" si="0"/>
        <v>36</v>
      </c>
      <c r="K10" s="75" t="str">
        <f t="shared" si="1"/>
        <v>SEDANG</v>
      </c>
      <c r="L10" s="71" t="s">
        <v>158</v>
      </c>
      <c r="M10" s="71" t="s">
        <v>159</v>
      </c>
      <c r="N10" s="71" t="s">
        <v>160</v>
      </c>
      <c r="O10" s="73"/>
      <c r="P10" s="76" t="s">
        <v>137</v>
      </c>
    </row>
    <row r="11" spans="2:16" ht="64" customHeight="1">
      <c r="B11" s="77" t="s">
        <v>161</v>
      </c>
      <c r="C11" s="78" t="s">
        <v>89</v>
      </c>
      <c r="D11" s="79" t="s">
        <v>90</v>
      </c>
      <c r="E11" s="80" t="s">
        <v>162</v>
      </c>
      <c r="F11" s="79" t="s">
        <v>163</v>
      </c>
      <c r="G11" s="81">
        <v>3</v>
      </c>
      <c r="H11" s="81">
        <v>5</v>
      </c>
      <c r="I11" s="81">
        <v>3</v>
      </c>
      <c r="J11" s="82">
        <f t="shared" si="0"/>
        <v>45</v>
      </c>
      <c r="K11" s="83" t="str">
        <f t="shared" si="1"/>
        <v>TINGGI</v>
      </c>
      <c r="L11" s="79" t="s">
        <v>164</v>
      </c>
      <c r="M11" s="79" t="s">
        <v>165</v>
      </c>
      <c r="N11" s="79" t="s">
        <v>166</v>
      </c>
      <c r="O11" s="81"/>
      <c r="P11" s="84" t="s">
        <v>137</v>
      </c>
    </row>
    <row r="12" spans="2:16" ht="64" customHeight="1">
      <c r="B12" s="85" t="s">
        <v>167</v>
      </c>
      <c r="C12" s="86" t="s">
        <v>92</v>
      </c>
      <c r="D12" s="87" t="s">
        <v>93</v>
      </c>
      <c r="E12" s="88" t="s">
        <v>168</v>
      </c>
      <c r="F12" s="87" t="s">
        <v>169</v>
      </c>
      <c r="G12" s="89">
        <v>4</v>
      </c>
      <c r="H12" s="89">
        <v>5</v>
      </c>
      <c r="I12" s="89">
        <v>2</v>
      </c>
      <c r="J12" s="90">
        <f t="shared" si="0"/>
        <v>40</v>
      </c>
      <c r="K12" s="91" t="str">
        <f t="shared" si="1"/>
        <v>TINGGI</v>
      </c>
      <c r="L12" s="87" t="s">
        <v>170</v>
      </c>
      <c r="M12" s="87" t="s">
        <v>171</v>
      </c>
      <c r="N12" s="87" t="s">
        <v>149</v>
      </c>
      <c r="O12" s="89"/>
      <c r="P12" s="92" t="s">
        <v>137</v>
      </c>
    </row>
    <row r="13" spans="2:16" ht="64" customHeight="1">
      <c r="B13" s="77" t="s">
        <v>172</v>
      </c>
      <c r="C13" s="78" t="s">
        <v>92</v>
      </c>
      <c r="D13" s="79" t="s">
        <v>93</v>
      </c>
      <c r="E13" s="80" t="s">
        <v>173</v>
      </c>
      <c r="F13" s="79" t="s">
        <v>174</v>
      </c>
      <c r="G13" s="81">
        <v>3</v>
      </c>
      <c r="H13" s="81">
        <v>5</v>
      </c>
      <c r="I13" s="81">
        <v>2</v>
      </c>
      <c r="J13" s="82">
        <f t="shared" si="0"/>
        <v>30</v>
      </c>
      <c r="K13" s="83" t="str">
        <f t="shared" si="1"/>
        <v>SEDANG</v>
      </c>
      <c r="L13" s="79" t="s">
        <v>175</v>
      </c>
      <c r="M13" s="79" t="s">
        <v>176</v>
      </c>
      <c r="N13" s="79" t="s">
        <v>177</v>
      </c>
      <c r="O13" s="81"/>
      <c r="P13" s="84" t="s">
        <v>137</v>
      </c>
    </row>
    <row r="14" spans="2:16" ht="64" customHeight="1">
      <c r="B14" s="85" t="s">
        <v>178</v>
      </c>
      <c r="C14" s="86" t="s">
        <v>92</v>
      </c>
      <c r="D14" s="87" t="s">
        <v>93</v>
      </c>
      <c r="E14" s="88" t="s">
        <v>179</v>
      </c>
      <c r="F14" s="87" t="s">
        <v>180</v>
      </c>
      <c r="G14" s="89">
        <v>3</v>
      </c>
      <c r="H14" s="89">
        <v>5</v>
      </c>
      <c r="I14" s="89">
        <v>3</v>
      </c>
      <c r="J14" s="90">
        <f t="shared" si="0"/>
        <v>45</v>
      </c>
      <c r="K14" s="91" t="str">
        <f t="shared" si="1"/>
        <v>TINGGI</v>
      </c>
      <c r="L14" s="87" t="s">
        <v>181</v>
      </c>
      <c r="M14" s="87" t="s">
        <v>182</v>
      </c>
      <c r="N14" s="87" t="s">
        <v>183</v>
      </c>
      <c r="O14" s="89"/>
      <c r="P14" s="92" t="s">
        <v>137</v>
      </c>
    </row>
    <row r="15" spans="2:16" ht="64" customHeight="1">
      <c r="B15" s="77" t="s">
        <v>184</v>
      </c>
      <c r="C15" s="78" t="s">
        <v>92</v>
      </c>
      <c r="D15" s="79" t="s">
        <v>93</v>
      </c>
      <c r="E15" s="80" t="s">
        <v>185</v>
      </c>
      <c r="F15" s="79" t="s">
        <v>186</v>
      </c>
      <c r="G15" s="81">
        <v>3</v>
      </c>
      <c r="H15" s="81">
        <v>5</v>
      </c>
      <c r="I15" s="81">
        <v>2</v>
      </c>
      <c r="J15" s="82">
        <f t="shared" si="0"/>
        <v>30</v>
      </c>
      <c r="K15" s="83" t="str">
        <f t="shared" si="1"/>
        <v>SEDANG</v>
      </c>
      <c r="L15" s="79" t="s">
        <v>187</v>
      </c>
      <c r="M15" s="79" t="s">
        <v>188</v>
      </c>
      <c r="N15" s="79" t="s">
        <v>189</v>
      </c>
      <c r="O15" s="81"/>
      <c r="P15" s="84" t="s">
        <v>137</v>
      </c>
    </row>
    <row r="16" spans="2:16" ht="64" customHeight="1">
      <c r="B16" s="85" t="s">
        <v>190</v>
      </c>
      <c r="C16" s="86" t="s">
        <v>92</v>
      </c>
      <c r="D16" s="87" t="s">
        <v>93</v>
      </c>
      <c r="E16" s="88" t="s">
        <v>191</v>
      </c>
      <c r="F16" s="87" t="s">
        <v>192</v>
      </c>
      <c r="G16" s="89">
        <v>4</v>
      </c>
      <c r="H16" s="89">
        <v>4</v>
      </c>
      <c r="I16" s="89">
        <v>3</v>
      </c>
      <c r="J16" s="90">
        <f t="shared" si="0"/>
        <v>48</v>
      </c>
      <c r="K16" s="91" t="str">
        <f t="shared" si="1"/>
        <v>TINGGI</v>
      </c>
      <c r="L16" s="87" t="s">
        <v>193</v>
      </c>
      <c r="M16" s="87" t="s">
        <v>194</v>
      </c>
      <c r="N16" s="87" t="s">
        <v>195</v>
      </c>
      <c r="O16" s="89"/>
      <c r="P16" s="92" t="s">
        <v>137</v>
      </c>
    </row>
    <row r="17" spans="2:16" ht="64" customHeight="1">
      <c r="B17" s="77" t="s">
        <v>196</v>
      </c>
      <c r="C17" s="78" t="s">
        <v>95</v>
      </c>
      <c r="D17" s="79" t="s">
        <v>96</v>
      </c>
      <c r="E17" s="80" t="s">
        <v>197</v>
      </c>
      <c r="F17" s="79" t="s">
        <v>198</v>
      </c>
      <c r="G17" s="81">
        <v>3</v>
      </c>
      <c r="H17" s="81">
        <v>5</v>
      </c>
      <c r="I17" s="81">
        <v>3</v>
      </c>
      <c r="J17" s="82">
        <f t="shared" si="0"/>
        <v>45</v>
      </c>
      <c r="K17" s="83" t="str">
        <f t="shared" si="1"/>
        <v>TINGGI</v>
      </c>
      <c r="L17" s="79" t="s">
        <v>199</v>
      </c>
      <c r="M17" s="79" t="s">
        <v>200</v>
      </c>
      <c r="N17" s="79" t="s">
        <v>201</v>
      </c>
      <c r="O17" s="81"/>
      <c r="P17" s="84" t="s">
        <v>137</v>
      </c>
    </row>
    <row r="18" spans="2:16" ht="64" customHeight="1">
      <c r="B18" s="93" t="s">
        <v>202</v>
      </c>
      <c r="C18" s="94" t="s">
        <v>95</v>
      </c>
      <c r="D18" s="95" t="s">
        <v>96</v>
      </c>
      <c r="E18" s="96" t="s">
        <v>203</v>
      </c>
      <c r="F18" s="95" t="s">
        <v>204</v>
      </c>
      <c r="G18" s="97">
        <v>2</v>
      </c>
      <c r="H18" s="97">
        <v>5</v>
      </c>
      <c r="I18" s="97">
        <v>4</v>
      </c>
      <c r="J18" s="98">
        <f t="shared" si="0"/>
        <v>40</v>
      </c>
      <c r="K18" s="99" t="str">
        <f t="shared" si="1"/>
        <v>TINGGI</v>
      </c>
      <c r="L18" s="95" t="s">
        <v>205</v>
      </c>
      <c r="M18" s="95" t="s">
        <v>206</v>
      </c>
      <c r="N18" s="95" t="s">
        <v>207</v>
      </c>
      <c r="O18" s="97"/>
      <c r="P18" s="100" t="s">
        <v>137</v>
      </c>
    </row>
    <row r="19" spans="2:16" ht="64" customHeight="1">
      <c r="B19" s="77" t="s">
        <v>208</v>
      </c>
      <c r="C19" s="78" t="s">
        <v>95</v>
      </c>
      <c r="D19" s="79" t="s">
        <v>96</v>
      </c>
      <c r="E19" s="80" t="s">
        <v>209</v>
      </c>
      <c r="F19" s="79" t="s">
        <v>210</v>
      </c>
      <c r="G19" s="81">
        <v>3</v>
      </c>
      <c r="H19" s="81">
        <v>4</v>
      </c>
      <c r="I19" s="81">
        <v>3</v>
      </c>
      <c r="J19" s="82">
        <f t="shared" si="0"/>
        <v>36</v>
      </c>
      <c r="K19" s="83" t="str">
        <f t="shared" si="1"/>
        <v>SEDANG</v>
      </c>
      <c r="L19" s="79" t="s">
        <v>211</v>
      </c>
      <c r="M19" s="79" t="s">
        <v>212</v>
      </c>
      <c r="N19" s="79" t="s">
        <v>160</v>
      </c>
      <c r="O19" s="81"/>
      <c r="P19" s="84" t="s">
        <v>137</v>
      </c>
    </row>
    <row r="20" spans="2:16" ht="64" customHeight="1">
      <c r="B20" s="93" t="s">
        <v>213</v>
      </c>
      <c r="C20" s="94" t="s">
        <v>95</v>
      </c>
      <c r="D20" s="95" t="s">
        <v>96</v>
      </c>
      <c r="E20" s="96" t="s">
        <v>214</v>
      </c>
      <c r="F20" s="95" t="s">
        <v>215</v>
      </c>
      <c r="G20" s="97">
        <v>2</v>
      </c>
      <c r="H20" s="97">
        <v>4</v>
      </c>
      <c r="I20" s="97">
        <v>4</v>
      </c>
      <c r="J20" s="98">
        <f t="shared" si="0"/>
        <v>32</v>
      </c>
      <c r="K20" s="99" t="str">
        <f t="shared" si="1"/>
        <v>SEDANG</v>
      </c>
      <c r="L20" s="95" t="s">
        <v>216</v>
      </c>
      <c r="M20" s="95" t="s">
        <v>217</v>
      </c>
      <c r="N20" s="95" t="s">
        <v>218</v>
      </c>
      <c r="O20" s="97"/>
      <c r="P20" s="100" t="s">
        <v>137</v>
      </c>
    </row>
    <row r="21" spans="2:16" ht="64" customHeight="1">
      <c r="B21" s="77" t="s">
        <v>219</v>
      </c>
      <c r="C21" s="78" t="s">
        <v>98</v>
      </c>
      <c r="D21" s="79" t="s">
        <v>99</v>
      </c>
      <c r="E21" s="80" t="s">
        <v>220</v>
      </c>
      <c r="F21" s="79" t="s">
        <v>221</v>
      </c>
      <c r="G21" s="81">
        <v>3</v>
      </c>
      <c r="H21" s="81">
        <v>5</v>
      </c>
      <c r="I21" s="81">
        <v>2</v>
      </c>
      <c r="J21" s="82">
        <f t="shared" si="0"/>
        <v>30</v>
      </c>
      <c r="K21" s="83" t="str">
        <f t="shared" si="1"/>
        <v>SEDANG</v>
      </c>
      <c r="L21" s="79" t="s">
        <v>222</v>
      </c>
      <c r="M21" s="79" t="s">
        <v>223</v>
      </c>
      <c r="N21" s="79" t="s">
        <v>224</v>
      </c>
      <c r="O21" s="81"/>
      <c r="P21" s="84" t="s">
        <v>137</v>
      </c>
    </row>
    <row r="22" spans="2:16" ht="64" customHeight="1">
      <c r="B22" s="101" t="s">
        <v>225</v>
      </c>
      <c r="C22" s="102" t="s">
        <v>98</v>
      </c>
      <c r="D22" s="103" t="s">
        <v>99</v>
      </c>
      <c r="E22" s="104" t="s">
        <v>226</v>
      </c>
      <c r="F22" s="103" t="s">
        <v>227</v>
      </c>
      <c r="G22" s="105">
        <v>4</v>
      </c>
      <c r="H22" s="105">
        <v>4</v>
      </c>
      <c r="I22" s="105">
        <v>2</v>
      </c>
      <c r="J22" s="106">
        <f t="shared" si="0"/>
        <v>32</v>
      </c>
      <c r="K22" s="107" t="str">
        <f t="shared" si="1"/>
        <v>SEDANG</v>
      </c>
      <c r="L22" s="103" t="s">
        <v>228</v>
      </c>
      <c r="M22" s="103" t="s">
        <v>229</v>
      </c>
      <c r="N22" s="103" t="s">
        <v>230</v>
      </c>
      <c r="O22" s="105"/>
      <c r="P22" s="108" t="s">
        <v>137</v>
      </c>
    </row>
    <row r="23" spans="2:16" ht="64" customHeight="1">
      <c r="B23" s="77" t="s">
        <v>231</v>
      </c>
      <c r="C23" s="78" t="s">
        <v>98</v>
      </c>
      <c r="D23" s="79" t="s">
        <v>99</v>
      </c>
      <c r="E23" s="80" t="s">
        <v>232</v>
      </c>
      <c r="F23" s="79" t="s">
        <v>233</v>
      </c>
      <c r="G23" s="81">
        <v>3</v>
      </c>
      <c r="H23" s="81">
        <v>3</v>
      </c>
      <c r="I23" s="81">
        <v>3</v>
      </c>
      <c r="J23" s="82">
        <f t="shared" si="0"/>
        <v>27</v>
      </c>
      <c r="K23" s="83" t="str">
        <f t="shared" si="1"/>
        <v>SEDANG</v>
      </c>
      <c r="L23" s="79" t="s">
        <v>234</v>
      </c>
      <c r="M23" s="79" t="s">
        <v>235</v>
      </c>
      <c r="N23" s="79" t="s">
        <v>143</v>
      </c>
      <c r="O23" s="81"/>
      <c r="P23" s="84" t="s">
        <v>137</v>
      </c>
    </row>
    <row r="24" spans="2:16" ht="64" customHeight="1">
      <c r="B24" s="101" t="s">
        <v>236</v>
      </c>
      <c r="C24" s="102" t="s">
        <v>98</v>
      </c>
      <c r="D24" s="103" t="s">
        <v>99</v>
      </c>
      <c r="E24" s="104" t="s">
        <v>237</v>
      </c>
      <c r="F24" s="103" t="s">
        <v>238</v>
      </c>
      <c r="G24" s="105">
        <v>3</v>
      </c>
      <c r="H24" s="105">
        <v>4</v>
      </c>
      <c r="I24" s="105">
        <v>3</v>
      </c>
      <c r="J24" s="106">
        <f t="shared" si="0"/>
        <v>36</v>
      </c>
      <c r="K24" s="107" t="str">
        <f t="shared" si="1"/>
        <v>SEDANG</v>
      </c>
      <c r="L24" s="103" t="s">
        <v>239</v>
      </c>
      <c r="M24" s="103" t="s">
        <v>240</v>
      </c>
      <c r="N24" s="103" t="s">
        <v>241</v>
      </c>
      <c r="O24" s="105"/>
      <c r="P24" s="108" t="s">
        <v>137</v>
      </c>
    </row>
    <row r="25" spans="2:16" ht="64" customHeight="1">
      <c r="B25" s="77" t="s">
        <v>242</v>
      </c>
      <c r="C25" s="78" t="s">
        <v>98</v>
      </c>
      <c r="D25" s="79" t="s">
        <v>99</v>
      </c>
      <c r="E25" s="80" t="s">
        <v>243</v>
      </c>
      <c r="F25" s="79" t="s">
        <v>244</v>
      </c>
      <c r="G25" s="81">
        <v>4</v>
      </c>
      <c r="H25" s="81">
        <v>3</v>
      </c>
      <c r="I25" s="81">
        <v>3</v>
      </c>
      <c r="J25" s="82">
        <f t="shared" si="0"/>
        <v>36</v>
      </c>
      <c r="K25" s="83" t="str">
        <f t="shared" si="1"/>
        <v>SEDANG</v>
      </c>
      <c r="L25" s="79" t="s">
        <v>245</v>
      </c>
      <c r="M25" s="79" t="s">
        <v>246</v>
      </c>
      <c r="N25" s="79" t="s">
        <v>143</v>
      </c>
      <c r="O25" s="81"/>
      <c r="P25" s="84" t="s">
        <v>137</v>
      </c>
    </row>
    <row r="26" spans="2:16" ht="64" customHeight="1">
      <c r="B26" s="109" t="s">
        <v>247</v>
      </c>
      <c r="C26" s="110" t="s">
        <v>100</v>
      </c>
      <c r="D26" s="111" t="s">
        <v>101</v>
      </c>
      <c r="E26" s="112" t="s">
        <v>248</v>
      </c>
      <c r="F26" s="111" t="s">
        <v>249</v>
      </c>
      <c r="G26" s="113">
        <v>3</v>
      </c>
      <c r="H26" s="113">
        <v>3</v>
      </c>
      <c r="I26" s="113">
        <v>3</v>
      </c>
      <c r="J26" s="114">
        <f t="shared" si="0"/>
        <v>27</v>
      </c>
      <c r="K26" s="115" t="str">
        <f t="shared" si="1"/>
        <v>SEDANG</v>
      </c>
      <c r="L26" s="111" t="s">
        <v>250</v>
      </c>
      <c r="M26" s="111" t="s">
        <v>251</v>
      </c>
      <c r="N26" s="111" t="s">
        <v>252</v>
      </c>
      <c r="O26" s="113"/>
      <c r="P26" s="116" t="s">
        <v>137</v>
      </c>
    </row>
    <row r="27" spans="2:16" ht="64" customHeight="1">
      <c r="B27" s="77" t="s">
        <v>253</v>
      </c>
      <c r="C27" s="78" t="s">
        <v>100</v>
      </c>
      <c r="D27" s="79" t="s">
        <v>101</v>
      </c>
      <c r="E27" s="80" t="s">
        <v>254</v>
      </c>
      <c r="F27" s="79" t="s">
        <v>255</v>
      </c>
      <c r="G27" s="81">
        <v>2</v>
      </c>
      <c r="H27" s="81">
        <v>3</v>
      </c>
      <c r="I27" s="81">
        <v>4</v>
      </c>
      <c r="J27" s="82">
        <f t="shared" si="0"/>
        <v>24</v>
      </c>
      <c r="K27" s="83" t="str">
        <f t="shared" si="1"/>
        <v>SEDANG</v>
      </c>
      <c r="L27" s="79" t="s">
        <v>256</v>
      </c>
      <c r="M27" s="79" t="s">
        <v>257</v>
      </c>
      <c r="N27" s="79" t="s">
        <v>160</v>
      </c>
      <c r="O27" s="81"/>
      <c r="P27" s="84" t="s">
        <v>137</v>
      </c>
    </row>
    <row r="28" spans="2:16" ht="64" customHeight="1">
      <c r="B28" s="109" t="s">
        <v>258</v>
      </c>
      <c r="C28" s="110" t="s">
        <v>100</v>
      </c>
      <c r="D28" s="111" t="s">
        <v>101</v>
      </c>
      <c r="E28" s="112" t="s">
        <v>259</v>
      </c>
      <c r="F28" s="111" t="s">
        <v>260</v>
      </c>
      <c r="G28" s="113">
        <v>3</v>
      </c>
      <c r="H28" s="113">
        <v>4</v>
      </c>
      <c r="I28" s="113">
        <v>3</v>
      </c>
      <c r="J28" s="114">
        <f t="shared" si="0"/>
        <v>36</v>
      </c>
      <c r="K28" s="115" t="str">
        <f t="shared" si="1"/>
        <v>SEDANG</v>
      </c>
      <c r="L28" s="111" t="s">
        <v>261</v>
      </c>
      <c r="M28" s="111" t="s">
        <v>262</v>
      </c>
      <c r="N28" s="111" t="s">
        <v>252</v>
      </c>
      <c r="O28" s="113"/>
      <c r="P28" s="116" t="s">
        <v>137</v>
      </c>
    </row>
    <row r="29" spans="2:16" ht="64" customHeight="1">
      <c r="B29" s="77" t="s">
        <v>263</v>
      </c>
      <c r="C29" s="78" t="s">
        <v>103</v>
      </c>
      <c r="D29" s="79" t="s">
        <v>104</v>
      </c>
      <c r="E29" s="80" t="s">
        <v>264</v>
      </c>
      <c r="F29" s="79" t="s">
        <v>265</v>
      </c>
      <c r="G29" s="81">
        <v>3</v>
      </c>
      <c r="H29" s="81">
        <v>5</v>
      </c>
      <c r="I29" s="81">
        <v>2</v>
      </c>
      <c r="J29" s="82">
        <f t="shared" si="0"/>
        <v>30</v>
      </c>
      <c r="K29" s="83" t="str">
        <f t="shared" si="1"/>
        <v>SEDANG</v>
      </c>
      <c r="L29" s="79" t="s">
        <v>266</v>
      </c>
      <c r="M29" s="79" t="s">
        <v>267</v>
      </c>
      <c r="N29" s="79" t="s">
        <v>268</v>
      </c>
      <c r="O29" s="81"/>
      <c r="P29" s="84" t="s">
        <v>137</v>
      </c>
    </row>
    <row r="30" spans="2:16" ht="64" customHeight="1">
      <c r="B30" s="117" t="s">
        <v>269</v>
      </c>
      <c r="C30" s="118" t="s">
        <v>103</v>
      </c>
      <c r="D30" s="119" t="s">
        <v>104</v>
      </c>
      <c r="E30" s="120" t="s">
        <v>270</v>
      </c>
      <c r="F30" s="119" t="s">
        <v>271</v>
      </c>
      <c r="G30" s="121">
        <v>3</v>
      </c>
      <c r="H30" s="121">
        <v>5</v>
      </c>
      <c r="I30" s="121">
        <v>2</v>
      </c>
      <c r="J30" s="122">
        <f t="shared" si="0"/>
        <v>30</v>
      </c>
      <c r="K30" s="123" t="str">
        <f t="shared" si="1"/>
        <v>SEDANG</v>
      </c>
      <c r="L30" s="119" t="s">
        <v>272</v>
      </c>
      <c r="M30" s="119" t="s">
        <v>273</v>
      </c>
      <c r="N30" s="119" t="s">
        <v>268</v>
      </c>
      <c r="O30" s="121"/>
      <c r="P30" s="124" t="s">
        <v>137</v>
      </c>
    </row>
    <row r="31" spans="2:16" ht="64" customHeight="1">
      <c r="B31" s="77" t="s">
        <v>274</v>
      </c>
      <c r="C31" s="78" t="s">
        <v>103</v>
      </c>
      <c r="D31" s="79" t="s">
        <v>104</v>
      </c>
      <c r="E31" s="80" t="s">
        <v>275</v>
      </c>
      <c r="F31" s="79" t="s">
        <v>276</v>
      </c>
      <c r="G31" s="81">
        <v>2</v>
      </c>
      <c r="H31" s="81">
        <v>5</v>
      </c>
      <c r="I31" s="81">
        <v>3</v>
      </c>
      <c r="J31" s="82">
        <f t="shared" si="0"/>
        <v>30</v>
      </c>
      <c r="K31" s="83" t="str">
        <f t="shared" si="1"/>
        <v>SEDANG</v>
      </c>
      <c r="L31" s="79" t="s">
        <v>277</v>
      </c>
      <c r="M31" s="79" t="s">
        <v>278</v>
      </c>
      <c r="N31" s="79" t="s">
        <v>268</v>
      </c>
      <c r="O31" s="81"/>
      <c r="P31" s="84" t="s">
        <v>137</v>
      </c>
    </row>
    <row r="32" spans="2:16" ht="64" customHeight="1">
      <c r="B32" s="117" t="s">
        <v>279</v>
      </c>
      <c r="C32" s="118" t="s">
        <v>103</v>
      </c>
      <c r="D32" s="119" t="s">
        <v>104</v>
      </c>
      <c r="E32" s="120" t="s">
        <v>280</v>
      </c>
      <c r="F32" s="119" t="s">
        <v>281</v>
      </c>
      <c r="G32" s="121">
        <v>3</v>
      </c>
      <c r="H32" s="121">
        <v>5</v>
      </c>
      <c r="I32" s="121">
        <v>3</v>
      </c>
      <c r="J32" s="122">
        <f t="shared" si="0"/>
        <v>45</v>
      </c>
      <c r="K32" s="123" t="str">
        <f t="shared" si="1"/>
        <v>TINGGI</v>
      </c>
      <c r="L32" s="119" t="s">
        <v>282</v>
      </c>
      <c r="M32" s="119" t="s">
        <v>283</v>
      </c>
      <c r="N32" s="119" t="s">
        <v>268</v>
      </c>
      <c r="O32" s="121"/>
      <c r="P32" s="124" t="s">
        <v>137</v>
      </c>
    </row>
    <row r="33" spans="2:16" ht="64" customHeight="1">
      <c r="B33" s="77" t="s">
        <v>284</v>
      </c>
      <c r="C33" s="78" t="s">
        <v>105</v>
      </c>
      <c r="D33" s="79" t="s">
        <v>106</v>
      </c>
      <c r="E33" s="80" t="s">
        <v>285</v>
      </c>
      <c r="F33" s="79" t="s">
        <v>286</v>
      </c>
      <c r="G33" s="81">
        <v>4</v>
      </c>
      <c r="H33" s="81">
        <v>4</v>
      </c>
      <c r="I33" s="81">
        <v>3</v>
      </c>
      <c r="J33" s="82">
        <f t="shared" si="0"/>
        <v>48</v>
      </c>
      <c r="K33" s="83" t="str">
        <f t="shared" si="1"/>
        <v>TINGGI</v>
      </c>
      <c r="L33" s="79" t="s">
        <v>287</v>
      </c>
      <c r="M33" s="79" t="s">
        <v>288</v>
      </c>
      <c r="N33" s="79" t="s">
        <v>289</v>
      </c>
      <c r="O33" s="81"/>
      <c r="P33" s="84" t="s">
        <v>137</v>
      </c>
    </row>
    <row r="34" spans="2:16" ht="64" customHeight="1">
      <c r="B34" s="101" t="s">
        <v>290</v>
      </c>
      <c r="C34" s="102" t="s">
        <v>105</v>
      </c>
      <c r="D34" s="103" t="s">
        <v>106</v>
      </c>
      <c r="E34" s="104" t="s">
        <v>291</v>
      </c>
      <c r="F34" s="103" t="s">
        <v>292</v>
      </c>
      <c r="G34" s="105">
        <v>3</v>
      </c>
      <c r="H34" s="105">
        <v>5</v>
      </c>
      <c r="I34" s="105">
        <v>3</v>
      </c>
      <c r="J34" s="106">
        <f t="shared" si="0"/>
        <v>45</v>
      </c>
      <c r="K34" s="107" t="str">
        <f t="shared" si="1"/>
        <v>TINGGI</v>
      </c>
      <c r="L34" s="103" t="s">
        <v>293</v>
      </c>
      <c r="M34" s="103" t="s">
        <v>294</v>
      </c>
      <c r="N34" s="103" t="s">
        <v>289</v>
      </c>
      <c r="O34" s="105"/>
      <c r="P34" s="108" t="s">
        <v>137</v>
      </c>
    </row>
    <row r="35" spans="2:16" ht="64" customHeight="1">
      <c r="B35" s="77" t="s">
        <v>295</v>
      </c>
      <c r="C35" s="78" t="s">
        <v>105</v>
      </c>
      <c r="D35" s="79" t="s">
        <v>106</v>
      </c>
      <c r="E35" s="80" t="s">
        <v>296</v>
      </c>
      <c r="F35" s="79" t="s">
        <v>297</v>
      </c>
      <c r="G35" s="81">
        <v>2</v>
      </c>
      <c r="H35" s="81">
        <v>4</v>
      </c>
      <c r="I35" s="81">
        <v>4</v>
      </c>
      <c r="J35" s="82">
        <f t="shared" si="0"/>
        <v>32</v>
      </c>
      <c r="K35" s="83" t="str">
        <f t="shared" si="1"/>
        <v>SEDANG</v>
      </c>
      <c r="L35" s="79" t="s">
        <v>298</v>
      </c>
      <c r="M35" s="79" t="s">
        <v>299</v>
      </c>
      <c r="N35" s="79" t="s">
        <v>300</v>
      </c>
      <c r="O35" s="81"/>
      <c r="P35" s="84" t="s">
        <v>137</v>
      </c>
    </row>
    <row r="36" spans="2:16" ht="64" customHeight="1">
      <c r="B36" s="125" t="s">
        <v>301</v>
      </c>
      <c r="C36" s="126" t="s">
        <v>107</v>
      </c>
      <c r="D36" s="127" t="s">
        <v>108</v>
      </c>
      <c r="E36" s="128" t="s">
        <v>302</v>
      </c>
      <c r="F36" s="127" t="s">
        <v>303</v>
      </c>
      <c r="G36" s="129">
        <v>3</v>
      </c>
      <c r="H36" s="129">
        <v>4</v>
      </c>
      <c r="I36" s="129">
        <v>3</v>
      </c>
      <c r="J36" s="130">
        <f t="shared" si="0"/>
        <v>36</v>
      </c>
      <c r="K36" s="131" t="str">
        <f t="shared" si="1"/>
        <v>SEDANG</v>
      </c>
      <c r="L36" s="127" t="s">
        <v>304</v>
      </c>
      <c r="M36" s="127" t="s">
        <v>305</v>
      </c>
      <c r="N36" s="127" t="s">
        <v>306</v>
      </c>
      <c r="O36" s="129"/>
      <c r="P36" s="132" t="s">
        <v>137</v>
      </c>
    </row>
    <row r="37" spans="2:16" ht="64" customHeight="1">
      <c r="B37" s="77" t="s">
        <v>307</v>
      </c>
      <c r="C37" s="78" t="s">
        <v>107</v>
      </c>
      <c r="D37" s="79" t="s">
        <v>108</v>
      </c>
      <c r="E37" s="80" t="s">
        <v>308</v>
      </c>
      <c r="F37" s="79" t="s">
        <v>309</v>
      </c>
      <c r="G37" s="81">
        <v>3</v>
      </c>
      <c r="H37" s="81">
        <v>4</v>
      </c>
      <c r="I37" s="81">
        <v>3</v>
      </c>
      <c r="J37" s="82">
        <f t="shared" si="0"/>
        <v>36</v>
      </c>
      <c r="K37" s="83" t="str">
        <f t="shared" si="1"/>
        <v>SEDANG</v>
      </c>
      <c r="L37" s="79" t="s">
        <v>310</v>
      </c>
      <c r="M37" s="79" t="s">
        <v>311</v>
      </c>
      <c r="N37" s="79" t="s">
        <v>306</v>
      </c>
      <c r="O37" s="81"/>
      <c r="P37" s="84" t="s">
        <v>137</v>
      </c>
    </row>
    <row r="38" spans="2:16" ht="64" customHeight="1">
      <c r="B38" s="125" t="s">
        <v>312</v>
      </c>
      <c r="C38" s="126" t="s">
        <v>107</v>
      </c>
      <c r="D38" s="127" t="s">
        <v>108</v>
      </c>
      <c r="E38" s="128" t="s">
        <v>313</v>
      </c>
      <c r="F38" s="127" t="s">
        <v>314</v>
      </c>
      <c r="G38" s="129">
        <v>3</v>
      </c>
      <c r="H38" s="129">
        <v>3</v>
      </c>
      <c r="I38" s="129">
        <v>4</v>
      </c>
      <c r="J38" s="130">
        <f t="shared" si="0"/>
        <v>36</v>
      </c>
      <c r="K38" s="131" t="str">
        <f t="shared" si="1"/>
        <v>SEDANG</v>
      </c>
      <c r="L38" s="127" t="s">
        <v>315</v>
      </c>
      <c r="M38" s="127" t="s">
        <v>316</v>
      </c>
      <c r="N38" s="127" t="s">
        <v>143</v>
      </c>
      <c r="O38" s="129"/>
      <c r="P38" s="132" t="s">
        <v>137</v>
      </c>
    </row>
    <row r="39" spans="2:16" ht="64" customHeight="1">
      <c r="B39" s="77" t="s">
        <v>317</v>
      </c>
      <c r="C39" s="78" t="s">
        <v>109</v>
      </c>
      <c r="D39" s="79" t="s">
        <v>110</v>
      </c>
      <c r="E39" s="80" t="s">
        <v>318</v>
      </c>
      <c r="F39" s="79" t="s">
        <v>319</v>
      </c>
      <c r="G39" s="81">
        <v>4</v>
      </c>
      <c r="H39" s="81">
        <v>4</v>
      </c>
      <c r="I39" s="81">
        <v>3</v>
      </c>
      <c r="J39" s="82">
        <f t="shared" si="0"/>
        <v>48</v>
      </c>
      <c r="K39" s="83" t="str">
        <f t="shared" si="1"/>
        <v>TINGGI</v>
      </c>
      <c r="L39" s="79" t="s">
        <v>320</v>
      </c>
      <c r="M39" s="79" t="s">
        <v>321</v>
      </c>
      <c r="N39" s="79" t="s">
        <v>289</v>
      </c>
      <c r="O39" s="81"/>
      <c r="P39" s="84" t="s">
        <v>137</v>
      </c>
    </row>
    <row r="40" spans="2:16" ht="64" customHeight="1">
      <c r="B40" s="133" t="s">
        <v>322</v>
      </c>
      <c r="C40" s="134" t="s">
        <v>109</v>
      </c>
      <c r="D40" s="135" t="s">
        <v>110</v>
      </c>
      <c r="E40" s="136" t="s">
        <v>323</v>
      </c>
      <c r="F40" s="135" t="s">
        <v>324</v>
      </c>
      <c r="G40" s="137">
        <v>4</v>
      </c>
      <c r="H40" s="137">
        <v>5</v>
      </c>
      <c r="I40" s="137">
        <v>3</v>
      </c>
      <c r="J40" s="138">
        <f t="shared" si="0"/>
        <v>60</v>
      </c>
      <c r="K40" s="139" t="str">
        <f t="shared" si="1"/>
        <v>TINGGI</v>
      </c>
      <c r="L40" s="135" t="s">
        <v>325</v>
      </c>
      <c r="M40" s="135" t="s">
        <v>326</v>
      </c>
      <c r="N40" s="135" t="s">
        <v>327</v>
      </c>
      <c r="O40" s="137"/>
      <c r="P40" s="140" t="s">
        <v>137</v>
      </c>
    </row>
    <row r="41" spans="2:16" ht="64" customHeight="1">
      <c r="B41" s="77" t="s">
        <v>328</v>
      </c>
      <c r="C41" s="78" t="s">
        <v>109</v>
      </c>
      <c r="D41" s="79" t="s">
        <v>110</v>
      </c>
      <c r="E41" s="80" t="s">
        <v>329</v>
      </c>
      <c r="F41" s="79" t="s">
        <v>330</v>
      </c>
      <c r="G41" s="81">
        <v>3</v>
      </c>
      <c r="H41" s="81">
        <v>4</v>
      </c>
      <c r="I41" s="81">
        <v>3</v>
      </c>
      <c r="J41" s="82">
        <f t="shared" si="0"/>
        <v>36</v>
      </c>
      <c r="K41" s="83" t="str">
        <f t="shared" si="1"/>
        <v>SEDANG</v>
      </c>
      <c r="L41" s="79" t="s">
        <v>331</v>
      </c>
      <c r="M41" s="79" t="s">
        <v>332</v>
      </c>
      <c r="N41" s="79" t="s">
        <v>289</v>
      </c>
      <c r="O41" s="81"/>
      <c r="P41" s="84" t="s">
        <v>137</v>
      </c>
    </row>
    <row r="42" spans="2:16" ht="64" customHeight="1">
      <c r="B42" s="133" t="s">
        <v>333</v>
      </c>
      <c r="C42" s="134" t="s">
        <v>109</v>
      </c>
      <c r="D42" s="135" t="s">
        <v>110</v>
      </c>
      <c r="E42" s="136" t="s">
        <v>334</v>
      </c>
      <c r="F42" s="135" t="s">
        <v>335</v>
      </c>
      <c r="G42" s="137">
        <v>2</v>
      </c>
      <c r="H42" s="137">
        <v>4</v>
      </c>
      <c r="I42" s="137">
        <v>3</v>
      </c>
      <c r="J42" s="138">
        <f t="shared" si="0"/>
        <v>24</v>
      </c>
      <c r="K42" s="139" t="str">
        <f t="shared" si="1"/>
        <v>SEDANG</v>
      </c>
      <c r="L42" s="135" t="s">
        <v>336</v>
      </c>
      <c r="M42" s="135" t="s">
        <v>337</v>
      </c>
      <c r="N42" s="135" t="s">
        <v>289</v>
      </c>
      <c r="O42" s="137"/>
      <c r="P42" s="140" t="s">
        <v>137</v>
      </c>
    </row>
    <row r="43" spans="2:16" ht="64" customHeight="1">
      <c r="B43" s="77" t="s">
        <v>338</v>
      </c>
      <c r="C43" s="78" t="s">
        <v>111</v>
      </c>
      <c r="D43" s="79" t="s">
        <v>112</v>
      </c>
      <c r="E43" s="80" t="s">
        <v>339</v>
      </c>
      <c r="F43" s="79" t="s">
        <v>340</v>
      </c>
      <c r="G43" s="81">
        <v>3</v>
      </c>
      <c r="H43" s="81">
        <v>4</v>
      </c>
      <c r="I43" s="81">
        <v>3</v>
      </c>
      <c r="J43" s="82">
        <f t="shared" si="0"/>
        <v>36</v>
      </c>
      <c r="K43" s="83" t="str">
        <f t="shared" si="1"/>
        <v>SEDANG</v>
      </c>
      <c r="L43" s="79" t="s">
        <v>341</v>
      </c>
      <c r="M43" s="79" t="s">
        <v>342</v>
      </c>
      <c r="N43" s="79" t="s">
        <v>343</v>
      </c>
      <c r="O43" s="81"/>
      <c r="P43" s="84" t="s">
        <v>137</v>
      </c>
    </row>
    <row r="44" spans="2:16" ht="64" customHeight="1">
      <c r="B44" s="69" t="s">
        <v>344</v>
      </c>
      <c r="C44" s="70" t="s">
        <v>111</v>
      </c>
      <c r="D44" s="71" t="s">
        <v>112</v>
      </c>
      <c r="E44" s="72" t="s">
        <v>345</v>
      </c>
      <c r="F44" s="71" t="s">
        <v>346</v>
      </c>
      <c r="G44" s="73">
        <v>3</v>
      </c>
      <c r="H44" s="73">
        <v>4</v>
      </c>
      <c r="I44" s="73">
        <v>3</v>
      </c>
      <c r="J44" s="74">
        <f t="shared" si="0"/>
        <v>36</v>
      </c>
      <c r="K44" s="75" t="str">
        <f t="shared" si="1"/>
        <v>SEDANG</v>
      </c>
      <c r="L44" s="71" t="s">
        <v>347</v>
      </c>
      <c r="M44" s="71" t="s">
        <v>348</v>
      </c>
      <c r="N44" s="71" t="s">
        <v>343</v>
      </c>
      <c r="O44" s="73"/>
      <c r="P44" s="76" t="s">
        <v>137</v>
      </c>
    </row>
    <row r="45" spans="2:16" ht="64" customHeight="1">
      <c r="B45" s="77" t="s">
        <v>349</v>
      </c>
      <c r="C45" s="78" t="s">
        <v>111</v>
      </c>
      <c r="D45" s="79" t="s">
        <v>112</v>
      </c>
      <c r="E45" s="80" t="s">
        <v>350</v>
      </c>
      <c r="F45" s="79" t="s">
        <v>351</v>
      </c>
      <c r="G45" s="81">
        <v>3</v>
      </c>
      <c r="H45" s="81">
        <v>4</v>
      </c>
      <c r="I45" s="81">
        <v>3</v>
      </c>
      <c r="J45" s="82">
        <f t="shared" si="0"/>
        <v>36</v>
      </c>
      <c r="K45" s="83" t="str">
        <f t="shared" si="1"/>
        <v>SEDANG</v>
      </c>
      <c r="L45" s="79" t="s">
        <v>352</v>
      </c>
      <c r="M45" s="79" t="s">
        <v>353</v>
      </c>
      <c r="N45" s="79" t="s">
        <v>343</v>
      </c>
      <c r="O45" s="81"/>
      <c r="P45" s="84" t="s">
        <v>137</v>
      </c>
    </row>
    <row r="46" spans="2:16" ht="64" customHeight="1">
      <c r="B46" s="69" t="s">
        <v>354</v>
      </c>
      <c r="C46" s="70" t="s">
        <v>111</v>
      </c>
      <c r="D46" s="71" t="s">
        <v>112</v>
      </c>
      <c r="E46" s="72" t="s">
        <v>355</v>
      </c>
      <c r="F46" s="71" t="s">
        <v>356</v>
      </c>
      <c r="G46" s="73">
        <v>3</v>
      </c>
      <c r="H46" s="73">
        <v>4</v>
      </c>
      <c r="I46" s="73">
        <v>3</v>
      </c>
      <c r="J46" s="74">
        <f t="shared" si="0"/>
        <v>36</v>
      </c>
      <c r="K46" s="75" t="str">
        <f t="shared" si="1"/>
        <v>SEDANG</v>
      </c>
      <c r="L46" s="71" t="s">
        <v>357</v>
      </c>
      <c r="M46" s="71" t="s">
        <v>358</v>
      </c>
      <c r="N46" s="71" t="s">
        <v>343</v>
      </c>
      <c r="O46" s="73"/>
      <c r="P46" s="76" t="s">
        <v>137</v>
      </c>
    </row>
    <row r="47" spans="2:16" ht="64" customHeight="1">
      <c r="B47" s="77" t="s">
        <v>359</v>
      </c>
      <c r="C47" s="78" t="s">
        <v>113</v>
      </c>
      <c r="D47" s="79" t="s">
        <v>114</v>
      </c>
      <c r="E47" s="80" t="s">
        <v>360</v>
      </c>
      <c r="F47" s="79" t="s">
        <v>361</v>
      </c>
      <c r="G47" s="81">
        <v>3</v>
      </c>
      <c r="H47" s="81">
        <v>4</v>
      </c>
      <c r="I47" s="81">
        <v>2</v>
      </c>
      <c r="J47" s="82">
        <f t="shared" si="0"/>
        <v>24</v>
      </c>
      <c r="K47" s="83" t="str">
        <f t="shared" si="1"/>
        <v>SEDANG</v>
      </c>
      <c r="L47" s="79" t="s">
        <v>362</v>
      </c>
      <c r="M47" s="79" t="s">
        <v>363</v>
      </c>
      <c r="N47" s="79" t="s">
        <v>364</v>
      </c>
      <c r="O47" s="81"/>
      <c r="P47" s="84" t="s">
        <v>137</v>
      </c>
    </row>
    <row r="48" spans="2:16" ht="64" customHeight="1">
      <c r="B48" s="141" t="s">
        <v>365</v>
      </c>
      <c r="C48" s="142" t="s">
        <v>113</v>
      </c>
      <c r="D48" s="143" t="s">
        <v>114</v>
      </c>
      <c r="E48" s="144" t="s">
        <v>366</v>
      </c>
      <c r="F48" s="143" t="s">
        <v>367</v>
      </c>
      <c r="G48" s="145">
        <v>3</v>
      </c>
      <c r="H48" s="145">
        <v>4</v>
      </c>
      <c r="I48" s="145">
        <v>3</v>
      </c>
      <c r="J48" s="146">
        <f t="shared" si="0"/>
        <v>36</v>
      </c>
      <c r="K48" s="147" t="str">
        <f t="shared" si="1"/>
        <v>SEDANG</v>
      </c>
      <c r="L48" s="143" t="s">
        <v>368</v>
      </c>
      <c r="M48" s="143" t="s">
        <v>369</v>
      </c>
      <c r="N48" s="143" t="s">
        <v>364</v>
      </c>
      <c r="O48" s="145"/>
      <c r="P48" s="148" t="s">
        <v>137</v>
      </c>
    </row>
    <row r="49" spans="2:16" ht="64" customHeight="1">
      <c r="B49" s="149" t="s">
        <v>370</v>
      </c>
      <c r="C49" s="150" t="s">
        <v>113</v>
      </c>
      <c r="D49" s="151" t="s">
        <v>114</v>
      </c>
      <c r="E49" s="152" t="s">
        <v>371</v>
      </c>
      <c r="F49" s="151" t="s">
        <v>372</v>
      </c>
      <c r="G49" s="153">
        <v>2</v>
      </c>
      <c r="H49" s="153">
        <v>4</v>
      </c>
      <c r="I49" s="153">
        <v>3</v>
      </c>
      <c r="J49" s="154">
        <f t="shared" si="0"/>
        <v>24</v>
      </c>
      <c r="K49" s="155" t="str">
        <f t="shared" si="1"/>
        <v>SEDANG</v>
      </c>
      <c r="L49" s="151" t="s">
        <v>373</v>
      </c>
      <c r="M49" s="151" t="s">
        <v>374</v>
      </c>
      <c r="N49" s="151" t="s">
        <v>364</v>
      </c>
      <c r="O49" s="153"/>
      <c r="P49" s="156" t="s">
        <v>137</v>
      </c>
    </row>
  </sheetData>
  <mergeCells count="2">
    <mergeCell ref="B3:P3"/>
    <mergeCell ref="B2:P2"/>
  </mergeCells>
  <conditionalFormatting sqref="J6:J49">
    <cfRule type="cellIs" dxfId="119" priority="1" operator="between">
      <formula>80</formula>
      <formula>125</formula>
    </cfRule>
    <cfRule type="cellIs" dxfId="118" priority="2" operator="between">
      <formula>40</formula>
      <formula>79</formula>
    </cfRule>
    <cfRule type="cellIs" dxfId="117" priority="3" operator="between">
      <formula>20</formula>
      <formula>39</formula>
    </cfRule>
    <cfRule type="cellIs" dxfId="116" priority="4" operator="between">
      <formula>10</formula>
      <formula>19</formula>
    </cfRule>
    <cfRule type="cellIs" dxfId="115" priority="5" operator="between">
      <formula>1</formula>
      <formula>9</formula>
    </cfRule>
  </conditionalFormatting>
  <conditionalFormatting sqref="K6:K49">
    <cfRule type="expression" dxfId="114" priority="6">
      <formula>EXACT(K6,"SANGAT TINGGI")</formula>
    </cfRule>
    <cfRule type="expression" dxfId="113" priority="7">
      <formula>EXACT(K6,"TINGGI")</formula>
    </cfRule>
    <cfRule type="expression" dxfId="112" priority="8">
      <formula>EXACT(K6,"SEDANG")</formula>
    </cfRule>
    <cfRule type="expression" dxfId="111" priority="9">
      <formula>EXACT(K6,"RENDAH")</formula>
    </cfRule>
    <cfRule type="expression" dxfId="110" priority="10">
      <formula>EXACT(K6,"SANGAT RENDAH")</formula>
    </cfRule>
  </conditionalFormatting>
  <dataValidations count="3">
    <dataValidation type="list" allowBlank="1" sqref="G6:I49">
      <formula1>"1,2,3,4,5"</formula1>
    </dataValidation>
    <dataValidation type="list" allowBlank="1" sqref="P6:P49">
      <formula1>"Belum dimulai,Dalam proses,Selesai,Dipantau"</formula1>
    </dataValidation>
    <dataValidation type="list" allowBlank="1" sqref="O6:O49">
      <formula1>"1 bulan,3 bulan,6 bulan,1 tahun"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B2:N22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375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161" t="s">
        <v>116</v>
      </c>
      <c r="C7" s="162" t="s">
        <v>380</v>
      </c>
      <c r="D7" s="162" t="s">
        <v>381</v>
      </c>
      <c r="E7" s="162" t="s">
        <v>121</v>
      </c>
      <c r="F7" s="162" t="s">
        <v>122</v>
      </c>
      <c r="G7" s="162" t="s">
        <v>123</v>
      </c>
      <c r="H7" s="162" t="s">
        <v>124</v>
      </c>
      <c r="I7" s="162" t="s">
        <v>125</v>
      </c>
      <c r="J7" s="162" t="s">
        <v>126</v>
      </c>
      <c r="K7" s="162" t="s">
        <v>127</v>
      </c>
      <c r="L7" s="162" t="s">
        <v>128</v>
      </c>
      <c r="M7" s="162" t="s">
        <v>382</v>
      </c>
      <c r="N7" s="163" t="s">
        <v>383</v>
      </c>
    </row>
    <row r="8" spans="2:14" ht="72" customHeight="1">
      <c r="B8" s="164" t="s">
        <v>131</v>
      </c>
      <c r="C8" s="72" t="s">
        <v>132</v>
      </c>
      <c r="D8" s="71" t="s">
        <v>133</v>
      </c>
      <c r="E8" s="73">
        <v>4</v>
      </c>
      <c r="F8" s="73">
        <v>4</v>
      </c>
      <c r="G8" s="73">
        <v>3</v>
      </c>
      <c r="H8" s="74">
        <f t="shared" ref="H8:H13" si="0">E8*F8*G8</f>
        <v>48</v>
      </c>
      <c r="I8" s="75" t="str">
        <f t="shared" ref="I8:I15" si="1">IF(H8="","",IF(H8&gt;=80,"SANGAT TINGGI",IF(H8&gt;=40,"TINGGI",IF(H8&gt;=20,"SEDANG",IF(H8&gt;=10,"RENDAH","SANGAT RENDAH")))))</f>
        <v>TINGGI</v>
      </c>
      <c r="J8" s="71" t="s">
        <v>134</v>
      </c>
      <c r="K8" s="71" t="s">
        <v>135</v>
      </c>
      <c r="L8" s="71" t="s">
        <v>136</v>
      </c>
      <c r="M8" s="73"/>
      <c r="N8" s="165" t="s">
        <v>137</v>
      </c>
    </row>
    <row r="9" spans="2:14" ht="72" customHeight="1">
      <c r="B9" s="166" t="s">
        <v>138</v>
      </c>
      <c r="C9" s="80" t="s">
        <v>139</v>
      </c>
      <c r="D9" s="79" t="s">
        <v>140</v>
      </c>
      <c r="E9" s="81">
        <v>4</v>
      </c>
      <c r="F9" s="81">
        <v>3</v>
      </c>
      <c r="G9" s="81">
        <v>3</v>
      </c>
      <c r="H9" s="82">
        <f t="shared" si="0"/>
        <v>36</v>
      </c>
      <c r="I9" s="83" t="str">
        <f t="shared" si="1"/>
        <v>SEDANG</v>
      </c>
      <c r="J9" s="79" t="s">
        <v>141</v>
      </c>
      <c r="K9" s="79" t="s">
        <v>142</v>
      </c>
      <c r="L9" s="79" t="s">
        <v>143</v>
      </c>
      <c r="M9" s="81"/>
      <c r="N9" s="167" t="s">
        <v>137</v>
      </c>
    </row>
    <row r="10" spans="2:14" ht="72" customHeight="1">
      <c r="B10" s="164" t="s">
        <v>144</v>
      </c>
      <c r="C10" s="72" t="s">
        <v>145</v>
      </c>
      <c r="D10" s="71" t="s">
        <v>146</v>
      </c>
      <c r="E10" s="73">
        <v>3</v>
      </c>
      <c r="F10" s="73">
        <v>5</v>
      </c>
      <c r="G10" s="73">
        <v>3</v>
      </c>
      <c r="H10" s="74">
        <f t="shared" si="0"/>
        <v>45</v>
      </c>
      <c r="I10" s="75" t="str">
        <f t="shared" si="1"/>
        <v>TINGGI</v>
      </c>
      <c r="J10" s="71" t="s">
        <v>147</v>
      </c>
      <c r="K10" s="71" t="s">
        <v>148</v>
      </c>
      <c r="L10" s="71" t="s">
        <v>149</v>
      </c>
      <c r="M10" s="73"/>
      <c r="N10" s="165" t="s">
        <v>137</v>
      </c>
    </row>
    <row r="11" spans="2:14" ht="72" customHeight="1">
      <c r="B11" s="166" t="s">
        <v>150</v>
      </c>
      <c r="C11" s="80" t="s">
        <v>151</v>
      </c>
      <c r="D11" s="79" t="s">
        <v>152</v>
      </c>
      <c r="E11" s="81">
        <v>3</v>
      </c>
      <c r="F11" s="81">
        <v>5</v>
      </c>
      <c r="G11" s="81">
        <v>3</v>
      </c>
      <c r="H11" s="82">
        <f t="shared" si="0"/>
        <v>45</v>
      </c>
      <c r="I11" s="83" t="str">
        <f t="shared" si="1"/>
        <v>TINGGI</v>
      </c>
      <c r="J11" s="79" t="s">
        <v>153</v>
      </c>
      <c r="K11" s="79" t="s">
        <v>154</v>
      </c>
      <c r="L11" s="79" t="s">
        <v>149</v>
      </c>
      <c r="M11" s="81"/>
      <c r="N11" s="167" t="s">
        <v>137</v>
      </c>
    </row>
    <row r="12" spans="2:14" ht="72" customHeight="1">
      <c r="B12" s="164" t="s">
        <v>155</v>
      </c>
      <c r="C12" s="72" t="s">
        <v>156</v>
      </c>
      <c r="D12" s="71" t="s">
        <v>157</v>
      </c>
      <c r="E12" s="73">
        <v>3</v>
      </c>
      <c r="F12" s="73">
        <v>4</v>
      </c>
      <c r="G12" s="73">
        <v>3</v>
      </c>
      <c r="H12" s="74">
        <f t="shared" si="0"/>
        <v>36</v>
      </c>
      <c r="I12" s="75" t="str">
        <f t="shared" si="1"/>
        <v>SEDANG</v>
      </c>
      <c r="J12" s="71" t="s">
        <v>158</v>
      </c>
      <c r="K12" s="71" t="s">
        <v>159</v>
      </c>
      <c r="L12" s="71" t="s">
        <v>160</v>
      </c>
      <c r="M12" s="73"/>
      <c r="N12" s="165" t="s">
        <v>137</v>
      </c>
    </row>
    <row r="13" spans="2:14" ht="72" customHeight="1">
      <c r="B13" s="166" t="s">
        <v>161</v>
      </c>
      <c r="C13" s="80" t="s">
        <v>162</v>
      </c>
      <c r="D13" s="79" t="s">
        <v>163</v>
      </c>
      <c r="E13" s="81">
        <v>3</v>
      </c>
      <c r="F13" s="81">
        <v>5</v>
      </c>
      <c r="G13" s="81">
        <v>3</v>
      </c>
      <c r="H13" s="82">
        <f t="shared" si="0"/>
        <v>45</v>
      </c>
      <c r="I13" s="83" t="str">
        <f t="shared" si="1"/>
        <v>TINGGI</v>
      </c>
      <c r="J13" s="79" t="s">
        <v>164</v>
      </c>
      <c r="K13" s="79" t="s">
        <v>165</v>
      </c>
      <c r="L13" s="79" t="s">
        <v>166</v>
      </c>
      <c r="M13" s="81"/>
      <c r="N13" s="167" t="s">
        <v>137</v>
      </c>
    </row>
    <row r="14" spans="2:14" ht="50" customHeight="1">
      <c r="B14" s="168"/>
      <c r="C14" s="169"/>
      <c r="D14" s="169"/>
      <c r="E14" s="169"/>
      <c r="F14" s="169"/>
      <c r="G14" s="169"/>
      <c r="H14" s="82" t="str">
        <f>IF(AND(E14&lt;&gt;"",F14&lt;&gt;"",G14&lt;&gt;""),E14*F14*G14,"")</f>
        <v/>
      </c>
      <c r="I14" s="83" t="str">
        <f t="shared" si="1"/>
        <v/>
      </c>
      <c r="J14" s="169"/>
      <c r="K14" s="169"/>
      <c r="L14" s="169"/>
      <c r="M14" s="169"/>
      <c r="N14" s="170"/>
    </row>
    <row r="15" spans="2:14" ht="50" customHeight="1">
      <c r="B15" s="171"/>
      <c r="C15" s="172"/>
      <c r="D15" s="172"/>
      <c r="E15" s="172"/>
      <c r="F15" s="172"/>
      <c r="G15" s="172"/>
      <c r="H15" s="173" t="str">
        <f>IF(AND(E15&lt;&gt;"",F15&lt;&gt;"",G15&lt;&gt;""),E15*F15*G15,"")</f>
        <v/>
      </c>
      <c r="I15" s="174" t="str">
        <f t="shared" si="1"/>
        <v/>
      </c>
      <c r="J15" s="172"/>
      <c r="K15" s="172"/>
      <c r="L15" s="172"/>
      <c r="M15" s="172"/>
      <c r="N15" s="175"/>
    </row>
    <row r="18" spans="2:14" ht="18" customHeight="1">
      <c r="B18" s="450" t="s">
        <v>384</v>
      </c>
      <c r="C18" s="409"/>
      <c r="D18" s="409"/>
      <c r="E18" s="409"/>
      <c r="F18" s="409"/>
      <c r="G18" s="411"/>
      <c r="I18" s="450" t="s">
        <v>385</v>
      </c>
      <c r="J18" s="409"/>
      <c r="K18" s="409"/>
      <c r="L18" s="409"/>
      <c r="M18" s="409"/>
      <c r="N18" s="411"/>
    </row>
    <row r="19" spans="2:14">
      <c r="B19" s="176"/>
      <c r="C19" s="3"/>
      <c r="D19" s="3"/>
      <c r="E19" s="3"/>
      <c r="F19" s="3"/>
      <c r="G19" s="4"/>
      <c r="I19" s="176"/>
      <c r="J19" s="3"/>
      <c r="K19" s="3"/>
      <c r="L19" s="3"/>
      <c r="M19" s="3"/>
      <c r="N19" s="4"/>
    </row>
    <row r="20" spans="2:14">
      <c r="B20" s="176"/>
      <c r="C20" s="3"/>
      <c r="D20" s="3"/>
      <c r="E20" s="3"/>
      <c r="F20" s="3"/>
      <c r="G20" s="4"/>
      <c r="I20" s="176"/>
      <c r="J20" s="3"/>
      <c r="K20" s="3"/>
      <c r="L20" s="3"/>
      <c r="M20" s="3"/>
      <c r="N20" s="4"/>
    </row>
    <row r="21" spans="2:14">
      <c r="B21" s="176"/>
      <c r="C21" s="3"/>
      <c r="D21" s="3"/>
      <c r="E21" s="3"/>
      <c r="F21" s="3"/>
      <c r="G21" s="4"/>
      <c r="I21" s="176"/>
      <c r="J21" s="3"/>
      <c r="K21" s="3"/>
      <c r="L21" s="3"/>
      <c r="M21" s="3"/>
      <c r="N21" s="4"/>
    </row>
    <row r="22" spans="2:14" ht="18" customHeight="1">
      <c r="B22" s="449" t="s">
        <v>386</v>
      </c>
      <c r="C22" s="405"/>
      <c r="D22" s="405"/>
      <c r="E22" s="405"/>
      <c r="F22" s="405"/>
      <c r="G22" s="418"/>
      <c r="I22" s="449" t="s">
        <v>386</v>
      </c>
      <c r="J22" s="405"/>
      <c r="K22" s="405"/>
      <c r="L22" s="405"/>
      <c r="M22" s="405"/>
      <c r="N22" s="418"/>
    </row>
  </sheetData>
  <mergeCells count="6">
    <mergeCell ref="B2:N2"/>
    <mergeCell ref="B22:G22"/>
    <mergeCell ref="I22:N22"/>
    <mergeCell ref="I18:N18"/>
    <mergeCell ref="B18:G18"/>
    <mergeCell ref="B3:N3"/>
  </mergeCells>
  <conditionalFormatting sqref="H8:H15">
    <cfRule type="cellIs" dxfId="109" priority="1" operator="between">
      <formula>80</formula>
      <formula>125</formula>
    </cfRule>
    <cfRule type="cellIs" dxfId="108" priority="2" operator="between">
      <formula>40</formula>
      <formula>79</formula>
    </cfRule>
    <cfRule type="cellIs" dxfId="107" priority="3" operator="between">
      <formula>20</formula>
      <formula>39</formula>
    </cfRule>
    <cfRule type="cellIs" dxfId="106" priority="4" operator="between">
      <formula>10</formula>
      <formula>19</formula>
    </cfRule>
    <cfRule type="cellIs" dxfId="105" priority="5" operator="between">
      <formula>1</formula>
      <formula>9</formula>
    </cfRule>
  </conditionalFormatting>
  <conditionalFormatting sqref="I8:I15">
    <cfRule type="expression" dxfId="104" priority="6">
      <formula>EXACT(I8,"SANGAT TINGGI")</formula>
    </cfRule>
    <cfRule type="expression" dxfId="103" priority="7">
      <formula>EXACT(I8,"TINGGI")</formula>
    </cfRule>
    <cfRule type="expression" dxfId="102" priority="8">
      <formula>EXACT(I8,"SEDANG")</formula>
    </cfRule>
    <cfRule type="expression" dxfId="101" priority="9">
      <formula>EXACT(I8,"RENDAH")</formula>
    </cfRule>
    <cfRule type="expression" dxfId="100" priority="10">
      <formula>EXACT(I8,"SANGAT RENDAH")</formula>
    </cfRule>
  </conditionalFormatting>
  <dataValidations count="2">
    <dataValidation type="list" allowBlank="1" sqref="E8:G15">
      <formula1>"1,2,3,4,5"</formula1>
    </dataValidation>
    <dataValidation type="list" allowBlank="1" sqref="N8:N15">
      <formula1>"Belum dimulai,Dalam proses,Selesai,Dipantau"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B2:N21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387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177" t="s">
        <v>116</v>
      </c>
      <c r="C7" s="178" t="s">
        <v>380</v>
      </c>
      <c r="D7" s="178" t="s">
        <v>381</v>
      </c>
      <c r="E7" s="178" t="s">
        <v>121</v>
      </c>
      <c r="F7" s="178" t="s">
        <v>122</v>
      </c>
      <c r="G7" s="178" t="s">
        <v>123</v>
      </c>
      <c r="H7" s="178" t="s">
        <v>124</v>
      </c>
      <c r="I7" s="178" t="s">
        <v>125</v>
      </c>
      <c r="J7" s="178" t="s">
        <v>126</v>
      </c>
      <c r="K7" s="178" t="s">
        <v>127</v>
      </c>
      <c r="L7" s="178" t="s">
        <v>128</v>
      </c>
      <c r="M7" s="178" t="s">
        <v>382</v>
      </c>
      <c r="N7" s="179" t="s">
        <v>383</v>
      </c>
    </row>
    <row r="8" spans="2:14" ht="72" customHeight="1">
      <c r="B8" s="180" t="s">
        <v>131</v>
      </c>
      <c r="C8" s="88" t="s">
        <v>168</v>
      </c>
      <c r="D8" s="87" t="s">
        <v>169</v>
      </c>
      <c r="E8" s="89">
        <v>4</v>
      </c>
      <c r="F8" s="89">
        <v>5</v>
      </c>
      <c r="G8" s="89">
        <v>2</v>
      </c>
      <c r="H8" s="90">
        <f>E8*F8*G8</f>
        <v>40</v>
      </c>
      <c r="I8" s="91" t="str">
        <f t="shared" ref="I8:I14" si="0">IF(H8="","",IF(H8&gt;=80,"SANGAT TINGGI",IF(H8&gt;=40,"TINGGI",IF(H8&gt;=20,"SEDANG",IF(H8&gt;=10,"RENDAH","SANGAT RENDAH")))))</f>
        <v>TINGGI</v>
      </c>
      <c r="J8" s="87" t="s">
        <v>170</v>
      </c>
      <c r="K8" s="87" t="s">
        <v>171</v>
      </c>
      <c r="L8" s="87" t="s">
        <v>149</v>
      </c>
      <c r="M8" s="89"/>
      <c r="N8" s="181" t="s">
        <v>137</v>
      </c>
    </row>
    <row r="9" spans="2:14" ht="72" customHeight="1">
      <c r="B9" s="182" t="s">
        <v>138</v>
      </c>
      <c r="C9" s="80" t="s">
        <v>173</v>
      </c>
      <c r="D9" s="79" t="s">
        <v>174</v>
      </c>
      <c r="E9" s="81">
        <v>3</v>
      </c>
      <c r="F9" s="81">
        <v>5</v>
      </c>
      <c r="G9" s="81">
        <v>2</v>
      </c>
      <c r="H9" s="82">
        <f>E9*F9*G9</f>
        <v>30</v>
      </c>
      <c r="I9" s="83" t="str">
        <f t="shared" si="0"/>
        <v>SEDANG</v>
      </c>
      <c r="J9" s="79" t="s">
        <v>175</v>
      </c>
      <c r="K9" s="79" t="s">
        <v>176</v>
      </c>
      <c r="L9" s="79" t="s">
        <v>177</v>
      </c>
      <c r="M9" s="81"/>
      <c r="N9" s="183" t="s">
        <v>137</v>
      </c>
    </row>
    <row r="10" spans="2:14" ht="72" customHeight="1">
      <c r="B10" s="180" t="s">
        <v>144</v>
      </c>
      <c r="C10" s="88" t="s">
        <v>179</v>
      </c>
      <c r="D10" s="87" t="s">
        <v>180</v>
      </c>
      <c r="E10" s="89">
        <v>3</v>
      </c>
      <c r="F10" s="89">
        <v>5</v>
      </c>
      <c r="G10" s="89">
        <v>3</v>
      </c>
      <c r="H10" s="90">
        <f>E10*F10*G10</f>
        <v>45</v>
      </c>
      <c r="I10" s="91" t="str">
        <f t="shared" si="0"/>
        <v>TINGGI</v>
      </c>
      <c r="J10" s="87" t="s">
        <v>181</v>
      </c>
      <c r="K10" s="87" t="s">
        <v>182</v>
      </c>
      <c r="L10" s="87" t="s">
        <v>183</v>
      </c>
      <c r="M10" s="89"/>
      <c r="N10" s="181" t="s">
        <v>137</v>
      </c>
    </row>
    <row r="11" spans="2:14" ht="72" customHeight="1">
      <c r="B11" s="182" t="s">
        <v>150</v>
      </c>
      <c r="C11" s="80" t="s">
        <v>185</v>
      </c>
      <c r="D11" s="79" t="s">
        <v>186</v>
      </c>
      <c r="E11" s="81">
        <v>3</v>
      </c>
      <c r="F11" s="81">
        <v>5</v>
      </c>
      <c r="G11" s="81">
        <v>2</v>
      </c>
      <c r="H11" s="82">
        <f>E11*F11*G11</f>
        <v>30</v>
      </c>
      <c r="I11" s="83" t="str">
        <f t="shared" si="0"/>
        <v>SEDANG</v>
      </c>
      <c r="J11" s="79" t="s">
        <v>187</v>
      </c>
      <c r="K11" s="79" t="s">
        <v>188</v>
      </c>
      <c r="L11" s="79" t="s">
        <v>189</v>
      </c>
      <c r="M11" s="81"/>
      <c r="N11" s="183" t="s">
        <v>137</v>
      </c>
    </row>
    <row r="12" spans="2:14" ht="72" customHeight="1">
      <c r="B12" s="180" t="s">
        <v>155</v>
      </c>
      <c r="C12" s="88" t="s">
        <v>191</v>
      </c>
      <c r="D12" s="87" t="s">
        <v>192</v>
      </c>
      <c r="E12" s="89">
        <v>4</v>
      </c>
      <c r="F12" s="89">
        <v>4</v>
      </c>
      <c r="G12" s="89">
        <v>3</v>
      </c>
      <c r="H12" s="90">
        <f>E12*F12*G12</f>
        <v>48</v>
      </c>
      <c r="I12" s="91" t="str">
        <f t="shared" si="0"/>
        <v>TINGGI</v>
      </c>
      <c r="J12" s="87" t="s">
        <v>193</v>
      </c>
      <c r="K12" s="87" t="s">
        <v>194</v>
      </c>
      <c r="L12" s="87" t="s">
        <v>195</v>
      </c>
      <c r="M12" s="89"/>
      <c r="N12" s="181" t="s">
        <v>137</v>
      </c>
    </row>
    <row r="13" spans="2:14" ht="50" customHeight="1">
      <c r="B13" s="184"/>
      <c r="C13" s="169"/>
      <c r="D13" s="169"/>
      <c r="E13" s="169"/>
      <c r="F13" s="169"/>
      <c r="G13" s="169"/>
      <c r="H13" s="82" t="str">
        <f>IF(AND(E13&lt;&gt;"",F13&lt;&gt;"",G13&lt;&gt;""),E13*F13*G13,"")</f>
        <v/>
      </c>
      <c r="I13" s="83" t="str">
        <f t="shared" si="0"/>
        <v/>
      </c>
      <c r="J13" s="169"/>
      <c r="K13" s="169"/>
      <c r="L13" s="169"/>
      <c r="M13" s="169"/>
      <c r="N13" s="185"/>
    </row>
    <row r="14" spans="2:14" ht="50" customHeight="1">
      <c r="B14" s="186"/>
      <c r="C14" s="187"/>
      <c r="D14" s="187"/>
      <c r="E14" s="187"/>
      <c r="F14" s="187"/>
      <c r="G14" s="187"/>
      <c r="H14" s="188" t="str">
        <f>IF(AND(E14&lt;&gt;"",F14&lt;&gt;"",G14&lt;&gt;""),E14*F14*G14,"")</f>
        <v/>
      </c>
      <c r="I14" s="189" t="str">
        <f t="shared" si="0"/>
        <v/>
      </c>
      <c r="J14" s="187"/>
      <c r="K14" s="187"/>
      <c r="L14" s="187"/>
      <c r="M14" s="187"/>
      <c r="N14" s="190"/>
    </row>
    <row r="17" spans="2:14" ht="18" customHeight="1">
      <c r="B17" s="450" t="s">
        <v>384</v>
      </c>
      <c r="C17" s="409"/>
      <c r="D17" s="409"/>
      <c r="E17" s="409"/>
      <c r="F17" s="409"/>
      <c r="G17" s="411"/>
      <c r="I17" s="450" t="s">
        <v>385</v>
      </c>
      <c r="J17" s="409"/>
      <c r="K17" s="409"/>
      <c r="L17" s="409"/>
      <c r="M17" s="409"/>
      <c r="N17" s="411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>
      <c r="B19" s="176"/>
      <c r="C19" s="3"/>
      <c r="D19" s="3"/>
      <c r="E19" s="3"/>
      <c r="F19" s="3"/>
      <c r="G19" s="4"/>
      <c r="I19" s="176"/>
      <c r="J19" s="3"/>
      <c r="K19" s="3"/>
      <c r="L19" s="3"/>
      <c r="M19" s="3"/>
      <c r="N19" s="4"/>
    </row>
    <row r="20" spans="2:14">
      <c r="B20" s="176"/>
      <c r="C20" s="3"/>
      <c r="D20" s="3"/>
      <c r="E20" s="3"/>
      <c r="F20" s="3"/>
      <c r="G20" s="4"/>
      <c r="I20" s="176"/>
      <c r="J20" s="3"/>
      <c r="K20" s="3"/>
      <c r="L20" s="3"/>
      <c r="M20" s="3"/>
      <c r="N20" s="4"/>
    </row>
    <row r="21" spans="2:14" ht="18" customHeight="1">
      <c r="B21" s="449" t="s">
        <v>386</v>
      </c>
      <c r="C21" s="405"/>
      <c r="D21" s="405"/>
      <c r="E21" s="405"/>
      <c r="F21" s="405"/>
      <c r="G21" s="418"/>
      <c r="I21" s="449" t="s">
        <v>386</v>
      </c>
      <c r="J21" s="405"/>
      <c r="K21" s="405"/>
      <c r="L21" s="405"/>
      <c r="M21" s="405"/>
      <c r="N21" s="418"/>
    </row>
  </sheetData>
  <mergeCells count="6">
    <mergeCell ref="B17:G17"/>
    <mergeCell ref="I17:N17"/>
    <mergeCell ref="B21:G21"/>
    <mergeCell ref="B3:N3"/>
    <mergeCell ref="B2:N2"/>
    <mergeCell ref="I21:N21"/>
  </mergeCells>
  <conditionalFormatting sqref="H8:H14">
    <cfRule type="cellIs" dxfId="99" priority="1" operator="between">
      <formula>80</formula>
      <formula>125</formula>
    </cfRule>
    <cfRule type="cellIs" dxfId="98" priority="2" operator="between">
      <formula>40</formula>
      <formula>79</formula>
    </cfRule>
    <cfRule type="cellIs" dxfId="97" priority="3" operator="between">
      <formula>20</formula>
      <formula>39</formula>
    </cfRule>
    <cfRule type="cellIs" dxfId="96" priority="4" operator="between">
      <formula>10</formula>
      <formula>19</formula>
    </cfRule>
    <cfRule type="cellIs" dxfId="95" priority="5" operator="between">
      <formula>1</formula>
      <formula>9</formula>
    </cfRule>
  </conditionalFormatting>
  <conditionalFormatting sqref="I8:I14">
    <cfRule type="expression" dxfId="94" priority="6">
      <formula>EXACT(I8,"SANGAT TINGGI")</formula>
    </cfRule>
    <cfRule type="expression" dxfId="93" priority="7">
      <formula>EXACT(I8,"TINGGI")</formula>
    </cfRule>
    <cfRule type="expression" dxfId="92" priority="8">
      <formula>EXACT(I8,"SEDANG")</formula>
    </cfRule>
    <cfRule type="expression" dxfId="91" priority="9">
      <formula>EXACT(I8,"RENDAH")</formula>
    </cfRule>
    <cfRule type="expression" dxfId="90" priority="10">
      <formula>EXACT(I8,"SANGAT RENDAH")</formula>
    </cfRule>
  </conditionalFormatting>
  <dataValidations count="2">
    <dataValidation type="list" allowBlank="1" sqref="E8:G14">
      <formula1>"1,2,3,4,5"</formula1>
    </dataValidation>
    <dataValidation type="list" allowBlank="1" sqref="N8:N14">
      <formula1>"Belum dimulai,Dalam proses,Selesai,Dipantau"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B2:N20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388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191" t="s">
        <v>116</v>
      </c>
      <c r="C7" s="192" t="s">
        <v>380</v>
      </c>
      <c r="D7" s="192" t="s">
        <v>381</v>
      </c>
      <c r="E7" s="192" t="s">
        <v>121</v>
      </c>
      <c r="F7" s="192" t="s">
        <v>122</v>
      </c>
      <c r="G7" s="192" t="s">
        <v>123</v>
      </c>
      <c r="H7" s="192" t="s">
        <v>124</v>
      </c>
      <c r="I7" s="192" t="s">
        <v>125</v>
      </c>
      <c r="J7" s="192" t="s">
        <v>126</v>
      </c>
      <c r="K7" s="192" t="s">
        <v>127</v>
      </c>
      <c r="L7" s="192" t="s">
        <v>128</v>
      </c>
      <c r="M7" s="192" t="s">
        <v>382</v>
      </c>
      <c r="N7" s="193" t="s">
        <v>383</v>
      </c>
    </row>
    <row r="8" spans="2:14" ht="72" customHeight="1">
      <c r="B8" s="194" t="s">
        <v>131</v>
      </c>
      <c r="C8" s="96" t="s">
        <v>197</v>
      </c>
      <c r="D8" s="95" t="s">
        <v>198</v>
      </c>
      <c r="E8" s="97">
        <v>3</v>
      </c>
      <c r="F8" s="97">
        <v>5</v>
      </c>
      <c r="G8" s="97">
        <v>3</v>
      </c>
      <c r="H8" s="98">
        <f>E8*F8*G8</f>
        <v>45</v>
      </c>
      <c r="I8" s="99" t="str">
        <f t="shared" ref="I8:I13" si="0">IF(H8="","",IF(H8&gt;=80,"SANGAT TINGGI",IF(H8&gt;=40,"TINGGI",IF(H8&gt;=20,"SEDANG",IF(H8&gt;=10,"RENDAH","SANGAT RENDAH")))))</f>
        <v>TINGGI</v>
      </c>
      <c r="J8" s="95" t="s">
        <v>199</v>
      </c>
      <c r="K8" s="95" t="s">
        <v>200</v>
      </c>
      <c r="L8" s="95" t="s">
        <v>201</v>
      </c>
      <c r="M8" s="97"/>
      <c r="N8" s="195" t="s">
        <v>137</v>
      </c>
    </row>
    <row r="9" spans="2:14" ht="72" customHeight="1">
      <c r="B9" s="196" t="s">
        <v>138</v>
      </c>
      <c r="C9" s="80" t="s">
        <v>203</v>
      </c>
      <c r="D9" s="79" t="s">
        <v>204</v>
      </c>
      <c r="E9" s="81">
        <v>2</v>
      </c>
      <c r="F9" s="81">
        <v>5</v>
      </c>
      <c r="G9" s="81">
        <v>4</v>
      </c>
      <c r="H9" s="82">
        <f>E9*F9*G9</f>
        <v>40</v>
      </c>
      <c r="I9" s="83" t="str">
        <f t="shared" si="0"/>
        <v>TINGGI</v>
      </c>
      <c r="J9" s="79" t="s">
        <v>205</v>
      </c>
      <c r="K9" s="79" t="s">
        <v>206</v>
      </c>
      <c r="L9" s="79" t="s">
        <v>207</v>
      </c>
      <c r="M9" s="81"/>
      <c r="N9" s="197" t="s">
        <v>137</v>
      </c>
    </row>
    <row r="10" spans="2:14" ht="72" customHeight="1">
      <c r="B10" s="194" t="s">
        <v>144</v>
      </c>
      <c r="C10" s="96" t="s">
        <v>209</v>
      </c>
      <c r="D10" s="95" t="s">
        <v>210</v>
      </c>
      <c r="E10" s="97">
        <v>3</v>
      </c>
      <c r="F10" s="97">
        <v>4</v>
      </c>
      <c r="G10" s="97">
        <v>3</v>
      </c>
      <c r="H10" s="98">
        <f>E10*F10*G10</f>
        <v>36</v>
      </c>
      <c r="I10" s="99" t="str">
        <f t="shared" si="0"/>
        <v>SEDANG</v>
      </c>
      <c r="J10" s="95" t="s">
        <v>211</v>
      </c>
      <c r="K10" s="95" t="s">
        <v>212</v>
      </c>
      <c r="L10" s="95" t="s">
        <v>160</v>
      </c>
      <c r="M10" s="97"/>
      <c r="N10" s="195" t="s">
        <v>137</v>
      </c>
    </row>
    <row r="11" spans="2:14" ht="72" customHeight="1">
      <c r="B11" s="196" t="s">
        <v>150</v>
      </c>
      <c r="C11" s="80" t="s">
        <v>214</v>
      </c>
      <c r="D11" s="79" t="s">
        <v>215</v>
      </c>
      <c r="E11" s="81">
        <v>2</v>
      </c>
      <c r="F11" s="81">
        <v>4</v>
      </c>
      <c r="G11" s="81">
        <v>4</v>
      </c>
      <c r="H11" s="82">
        <f>E11*F11*G11</f>
        <v>32</v>
      </c>
      <c r="I11" s="83" t="str">
        <f t="shared" si="0"/>
        <v>SEDANG</v>
      </c>
      <c r="J11" s="79" t="s">
        <v>216</v>
      </c>
      <c r="K11" s="79" t="s">
        <v>217</v>
      </c>
      <c r="L11" s="79" t="s">
        <v>218</v>
      </c>
      <c r="M11" s="81"/>
      <c r="N11" s="197" t="s">
        <v>137</v>
      </c>
    </row>
    <row r="12" spans="2:14" ht="50" customHeight="1">
      <c r="B12" s="198"/>
      <c r="C12" s="169"/>
      <c r="D12" s="169"/>
      <c r="E12" s="169"/>
      <c r="F12" s="169"/>
      <c r="G12" s="169"/>
      <c r="H12" s="82" t="str">
        <f>IF(AND(E12&lt;&gt;"",F12&lt;&gt;"",G12&lt;&gt;""),E12*F12*G12,"")</f>
        <v/>
      </c>
      <c r="I12" s="83" t="str">
        <f t="shared" si="0"/>
        <v/>
      </c>
      <c r="J12" s="169"/>
      <c r="K12" s="169"/>
      <c r="L12" s="169"/>
      <c r="M12" s="169"/>
      <c r="N12" s="199"/>
    </row>
    <row r="13" spans="2:14" ht="50" customHeight="1">
      <c r="B13" s="200"/>
      <c r="C13" s="201"/>
      <c r="D13" s="201"/>
      <c r="E13" s="201"/>
      <c r="F13" s="201"/>
      <c r="G13" s="201"/>
      <c r="H13" s="202" t="str">
        <f>IF(AND(E13&lt;&gt;"",F13&lt;&gt;"",G13&lt;&gt;""),E13*F13*G13,"")</f>
        <v/>
      </c>
      <c r="I13" s="203" t="str">
        <f t="shared" si="0"/>
        <v/>
      </c>
      <c r="J13" s="201"/>
      <c r="K13" s="201"/>
      <c r="L13" s="201"/>
      <c r="M13" s="201"/>
      <c r="N13" s="204"/>
    </row>
    <row r="16" spans="2:14" ht="18" customHeight="1">
      <c r="B16" s="450" t="s">
        <v>384</v>
      </c>
      <c r="C16" s="409"/>
      <c r="D16" s="409"/>
      <c r="E16" s="409"/>
      <c r="F16" s="409"/>
      <c r="G16" s="411"/>
      <c r="I16" s="450" t="s">
        <v>385</v>
      </c>
      <c r="J16" s="409"/>
      <c r="K16" s="409"/>
      <c r="L16" s="409"/>
      <c r="M16" s="409"/>
      <c r="N16" s="411"/>
    </row>
    <row r="17" spans="2:14">
      <c r="B17" s="176"/>
      <c r="C17" s="3"/>
      <c r="D17" s="3"/>
      <c r="E17" s="3"/>
      <c r="F17" s="3"/>
      <c r="G17" s="4"/>
      <c r="I17" s="176"/>
      <c r="J17" s="3"/>
      <c r="K17" s="3"/>
      <c r="L17" s="3"/>
      <c r="M17" s="3"/>
      <c r="N17" s="4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>
      <c r="B19" s="176"/>
      <c r="C19" s="3"/>
      <c r="D19" s="3"/>
      <c r="E19" s="3"/>
      <c r="F19" s="3"/>
      <c r="G19" s="4"/>
      <c r="I19" s="176"/>
      <c r="J19" s="3"/>
      <c r="K19" s="3"/>
      <c r="L19" s="3"/>
      <c r="M19" s="3"/>
      <c r="N19" s="4"/>
    </row>
    <row r="20" spans="2:14" ht="18" customHeight="1">
      <c r="B20" s="449" t="s">
        <v>386</v>
      </c>
      <c r="C20" s="405"/>
      <c r="D20" s="405"/>
      <c r="E20" s="405"/>
      <c r="F20" s="405"/>
      <c r="G20" s="418"/>
      <c r="I20" s="449" t="s">
        <v>386</v>
      </c>
      <c r="J20" s="405"/>
      <c r="K20" s="405"/>
      <c r="L20" s="405"/>
      <c r="M20" s="405"/>
      <c r="N20" s="418"/>
    </row>
  </sheetData>
  <mergeCells count="6">
    <mergeCell ref="B16:G16"/>
    <mergeCell ref="B20:G20"/>
    <mergeCell ref="B3:N3"/>
    <mergeCell ref="B2:N2"/>
    <mergeCell ref="I20:N20"/>
    <mergeCell ref="I16:N16"/>
  </mergeCells>
  <conditionalFormatting sqref="H8:H13">
    <cfRule type="cellIs" dxfId="89" priority="1" operator="between">
      <formula>80</formula>
      <formula>125</formula>
    </cfRule>
    <cfRule type="cellIs" dxfId="88" priority="2" operator="between">
      <formula>40</formula>
      <formula>79</formula>
    </cfRule>
    <cfRule type="cellIs" dxfId="87" priority="3" operator="between">
      <formula>20</formula>
      <formula>39</formula>
    </cfRule>
    <cfRule type="cellIs" dxfId="86" priority="4" operator="between">
      <formula>10</formula>
      <formula>19</formula>
    </cfRule>
    <cfRule type="cellIs" dxfId="85" priority="5" operator="between">
      <formula>1</formula>
      <formula>9</formula>
    </cfRule>
  </conditionalFormatting>
  <conditionalFormatting sqref="I8:I13">
    <cfRule type="expression" dxfId="84" priority="6">
      <formula>EXACT(I8,"SANGAT TINGGI")</formula>
    </cfRule>
    <cfRule type="expression" dxfId="83" priority="7">
      <formula>EXACT(I8,"TINGGI")</formula>
    </cfRule>
    <cfRule type="expression" dxfId="82" priority="8">
      <formula>EXACT(I8,"SEDANG")</formula>
    </cfRule>
    <cfRule type="expression" dxfId="81" priority="9">
      <formula>EXACT(I8,"RENDAH")</formula>
    </cfRule>
    <cfRule type="expression" dxfId="80" priority="10">
      <formula>EXACT(I8,"SANGAT RENDAH")</formula>
    </cfRule>
  </conditionalFormatting>
  <dataValidations count="2">
    <dataValidation type="list" allowBlank="1" sqref="E8:G13">
      <formula1>"1,2,3,4,5"</formula1>
    </dataValidation>
    <dataValidation type="list" allowBlank="1" sqref="N8:N13">
      <formula1>"Belum dimulai,Dalam proses,Selesai,Dipantau"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B2:N21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389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205" t="s">
        <v>116</v>
      </c>
      <c r="C7" s="206" t="s">
        <v>380</v>
      </c>
      <c r="D7" s="206" t="s">
        <v>381</v>
      </c>
      <c r="E7" s="206" t="s">
        <v>121</v>
      </c>
      <c r="F7" s="206" t="s">
        <v>122</v>
      </c>
      <c r="G7" s="206" t="s">
        <v>123</v>
      </c>
      <c r="H7" s="206" t="s">
        <v>124</v>
      </c>
      <c r="I7" s="206" t="s">
        <v>125</v>
      </c>
      <c r="J7" s="206" t="s">
        <v>126</v>
      </c>
      <c r="K7" s="206" t="s">
        <v>127</v>
      </c>
      <c r="L7" s="206" t="s">
        <v>128</v>
      </c>
      <c r="M7" s="206" t="s">
        <v>382</v>
      </c>
      <c r="N7" s="207" t="s">
        <v>383</v>
      </c>
    </row>
    <row r="8" spans="2:14" ht="72" customHeight="1">
      <c r="B8" s="208" t="s">
        <v>131</v>
      </c>
      <c r="C8" s="104" t="s">
        <v>220</v>
      </c>
      <c r="D8" s="103" t="s">
        <v>221</v>
      </c>
      <c r="E8" s="105">
        <v>3</v>
      </c>
      <c r="F8" s="105">
        <v>5</v>
      </c>
      <c r="G8" s="105">
        <v>2</v>
      </c>
      <c r="H8" s="106">
        <f>E8*F8*G8</f>
        <v>30</v>
      </c>
      <c r="I8" s="107" t="str">
        <f t="shared" ref="I8:I14" si="0">IF(H8="","",IF(H8&gt;=80,"SANGAT TINGGI",IF(H8&gt;=40,"TINGGI",IF(H8&gt;=20,"SEDANG",IF(H8&gt;=10,"RENDAH","SANGAT RENDAH")))))</f>
        <v>SEDANG</v>
      </c>
      <c r="J8" s="103" t="s">
        <v>222</v>
      </c>
      <c r="K8" s="103" t="s">
        <v>223</v>
      </c>
      <c r="L8" s="103" t="s">
        <v>224</v>
      </c>
      <c r="M8" s="105"/>
      <c r="N8" s="209" t="s">
        <v>137</v>
      </c>
    </row>
    <row r="9" spans="2:14" ht="72" customHeight="1">
      <c r="B9" s="210" t="s">
        <v>138</v>
      </c>
      <c r="C9" s="80" t="s">
        <v>226</v>
      </c>
      <c r="D9" s="79" t="s">
        <v>227</v>
      </c>
      <c r="E9" s="81">
        <v>4</v>
      </c>
      <c r="F9" s="81">
        <v>4</v>
      </c>
      <c r="G9" s="81">
        <v>2</v>
      </c>
      <c r="H9" s="82">
        <f>E9*F9*G9</f>
        <v>32</v>
      </c>
      <c r="I9" s="83" t="str">
        <f t="shared" si="0"/>
        <v>SEDANG</v>
      </c>
      <c r="J9" s="79" t="s">
        <v>228</v>
      </c>
      <c r="K9" s="79" t="s">
        <v>229</v>
      </c>
      <c r="L9" s="79" t="s">
        <v>230</v>
      </c>
      <c r="M9" s="81"/>
      <c r="N9" s="211" t="s">
        <v>137</v>
      </c>
    </row>
    <row r="10" spans="2:14" ht="72" customHeight="1">
      <c r="B10" s="208" t="s">
        <v>144</v>
      </c>
      <c r="C10" s="104" t="s">
        <v>232</v>
      </c>
      <c r="D10" s="103" t="s">
        <v>233</v>
      </c>
      <c r="E10" s="105">
        <v>3</v>
      </c>
      <c r="F10" s="105">
        <v>3</v>
      </c>
      <c r="G10" s="105">
        <v>3</v>
      </c>
      <c r="H10" s="106">
        <f>E10*F10*G10</f>
        <v>27</v>
      </c>
      <c r="I10" s="107" t="str">
        <f t="shared" si="0"/>
        <v>SEDANG</v>
      </c>
      <c r="J10" s="103" t="s">
        <v>234</v>
      </c>
      <c r="K10" s="103" t="s">
        <v>235</v>
      </c>
      <c r="L10" s="103" t="s">
        <v>143</v>
      </c>
      <c r="M10" s="105"/>
      <c r="N10" s="209" t="s">
        <v>137</v>
      </c>
    </row>
    <row r="11" spans="2:14" ht="72" customHeight="1">
      <c r="B11" s="210" t="s">
        <v>150</v>
      </c>
      <c r="C11" s="80" t="s">
        <v>237</v>
      </c>
      <c r="D11" s="79" t="s">
        <v>238</v>
      </c>
      <c r="E11" s="81">
        <v>3</v>
      </c>
      <c r="F11" s="81">
        <v>4</v>
      </c>
      <c r="G11" s="81">
        <v>3</v>
      </c>
      <c r="H11" s="82">
        <f>E11*F11*G11</f>
        <v>36</v>
      </c>
      <c r="I11" s="83" t="str">
        <f t="shared" si="0"/>
        <v>SEDANG</v>
      </c>
      <c r="J11" s="79" t="s">
        <v>239</v>
      </c>
      <c r="K11" s="79" t="s">
        <v>240</v>
      </c>
      <c r="L11" s="79" t="s">
        <v>241</v>
      </c>
      <c r="M11" s="81"/>
      <c r="N11" s="211" t="s">
        <v>137</v>
      </c>
    </row>
    <row r="12" spans="2:14" ht="72" customHeight="1">
      <c r="B12" s="208" t="s">
        <v>155</v>
      </c>
      <c r="C12" s="104" t="s">
        <v>243</v>
      </c>
      <c r="D12" s="103" t="s">
        <v>244</v>
      </c>
      <c r="E12" s="105">
        <v>4</v>
      </c>
      <c r="F12" s="105">
        <v>3</v>
      </c>
      <c r="G12" s="105">
        <v>3</v>
      </c>
      <c r="H12" s="106">
        <f>E12*F12*G12</f>
        <v>36</v>
      </c>
      <c r="I12" s="107" t="str">
        <f t="shared" si="0"/>
        <v>SEDANG</v>
      </c>
      <c r="J12" s="103" t="s">
        <v>245</v>
      </c>
      <c r="K12" s="103" t="s">
        <v>246</v>
      </c>
      <c r="L12" s="103" t="s">
        <v>143</v>
      </c>
      <c r="M12" s="105"/>
      <c r="N12" s="209" t="s">
        <v>137</v>
      </c>
    </row>
    <row r="13" spans="2:14" ht="50" customHeight="1">
      <c r="B13" s="212"/>
      <c r="C13" s="169"/>
      <c r="D13" s="169"/>
      <c r="E13" s="169"/>
      <c r="F13" s="169"/>
      <c r="G13" s="169"/>
      <c r="H13" s="82" t="str">
        <f>IF(AND(E13&lt;&gt;"",F13&lt;&gt;"",G13&lt;&gt;""),E13*F13*G13,"")</f>
        <v/>
      </c>
      <c r="I13" s="83" t="str">
        <f t="shared" si="0"/>
        <v/>
      </c>
      <c r="J13" s="169"/>
      <c r="K13" s="169"/>
      <c r="L13" s="169"/>
      <c r="M13" s="169"/>
      <c r="N13" s="213"/>
    </row>
    <row r="14" spans="2:14" ht="50" customHeight="1">
      <c r="B14" s="214"/>
      <c r="C14" s="215"/>
      <c r="D14" s="215"/>
      <c r="E14" s="215"/>
      <c r="F14" s="215"/>
      <c r="G14" s="215"/>
      <c r="H14" s="216" t="str">
        <f>IF(AND(E14&lt;&gt;"",F14&lt;&gt;"",G14&lt;&gt;""),E14*F14*G14,"")</f>
        <v/>
      </c>
      <c r="I14" s="217" t="str">
        <f t="shared" si="0"/>
        <v/>
      </c>
      <c r="J14" s="215"/>
      <c r="K14" s="215"/>
      <c r="L14" s="215"/>
      <c r="M14" s="215"/>
      <c r="N14" s="218"/>
    </row>
    <row r="17" spans="2:14" ht="18" customHeight="1">
      <c r="B17" s="450" t="s">
        <v>384</v>
      </c>
      <c r="C17" s="409"/>
      <c r="D17" s="409"/>
      <c r="E17" s="409"/>
      <c r="F17" s="409"/>
      <c r="G17" s="411"/>
      <c r="I17" s="450" t="s">
        <v>385</v>
      </c>
      <c r="J17" s="409"/>
      <c r="K17" s="409"/>
      <c r="L17" s="409"/>
      <c r="M17" s="409"/>
      <c r="N17" s="411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>
      <c r="B19" s="176"/>
      <c r="C19" s="3"/>
      <c r="D19" s="3"/>
      <c r="E19" s="3"/>
      <c r="F19" s="3"/>
      <c r="G19" s="4"/>
      <c r="I19" s="176"/>
      <c r="J19" s="3"/>
      <c r="K19" s="3"/>
      <c r="L19" s="3"/>
      <c r="M19" s="3"/>
      <c r="N19" s="4"/>
    </row>
    <row r="20" spans="2:14">
      <c r="B20" s="176"/>
      <c r="C20" s="3"/>
      <c r="D20" s="3"/>
      <c r="E20" s="3"/>
      <c r="F20" s="3"/>
      <c r="G20" s="4"/>
      <c r="I20" s="176"/>
      <c r="J20" s="3"/>
      <c r="K20" s="3"/>
      <c r="L20" s="3"/>
      <c r="M20" s="3"/>
      <c r="N20" s="4"/>
    </row>
    <row r="21" spans="2:14" ht="18" customHeight="1">
      <c r="B21" s="449" t="s">
        <v>386</v>
      </c>
      <c r="C21" s="405"/>
      <c r="D21" s="405"/>
      <c r="E21" s="405"/>
      <c r="F21" s="405"/>
      <c r="G21" s="418"/>
      <c r="I21" s="449" t="s">
        <v>386</v>
      </c>
      <c r="J21" s="405"/>
      <c r="K21" s="405"/>
      <c r="L21" s="405"/>
      <c r="M21" s="405"/>
      <c r="N21" s="418"/>
    </row>
  </sheetData>
  <mergeCells count="6">
    <mergeCell ref="B17:G17"/>
    <mergeCell ref="I17:N17"/>
    <mergeCell ref="B21:G21"/>
    <mergeCell ref="B3:N3"/>
    <mergeCell ref="B2:N2"/>
    <mergeCell ref="I21:N21"/>
  </mergeCells>
  <conditionalFormatting sqref="H8:H14">
    <cfRule type="cellIs" dxfId="79" priority="1" operator="between">
      <formula>80</formula>
      <formula>125</formula>
    </cfRule>
    <cfRule type="cellIs" dxfId="78" priority="2" operator="between">
      <formula>40</formula>
      <formula>79</formula>
    </cfRule>
    <cfRule type="cellIs" dxfId="77" priority="3" operator="between">
      <formula>20</formula>
      <formula>39</formula>
    </cfRule>
    <cfRule type="cellIs" dxfId="76" priority="4" operator="between">
      <formula>10</formula>
      <formula>19</formula>
    </cfRule>
    <cfRule type="cellIs" dxfId="75" priority="5" operator="between">
      <formula>1</formula>
      <formula>9</formula>
    </cfRule>
  </conditionalFormatting>
  <conditionalFormatting sqref="I8:I14">
    <cfRule type="expression" dxfId="74" priority="6">
      <formula>EXACT(I8,"SANGAT TINGGI")</formula>
    </cfRule>
    <cfRule type="expression" dxfId="73" priority="7">
      <formula>EXACT(I8,"TINGGI")</formula>
    </cfRule>
    <cfRule type="expression" dxfId="72" priority="8">
      <formula>EXACT(I8,"SEDANG")</formula>
    </cfRule>
    <cfRule type="expression" dxfId="71" priority="9">
      <formula>EXACT(I8,"RENDAH")</formula>
    </cfRule>
    <cfRule type="expression" dxfId="70" priority="10">
      <formula>EXACT(I8,"SANGAT RENDAH")</formula>
    </cfRule>
  </conditionalFormatting>
  <dataValidations count="2">
    <dataValidation type="list" allowBlank="1" sqref="E8:G14">
      <formula1>"1,2,3,4,5"</formula1>
    </dataValidation>
    <dataValidation type="list" allowBlank="1" sqref="N8:N14">
      <formula1>"Belum dimulai,Dalam proses,Selesai,Dipantau"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B2:N19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390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219" t="s">
        <v>116</v>
      </c>
      <c r="C7" s="220" t="s">
        <v>380</v>
      </c>
      <c r="D7" s="220" t="s">
        <v>381</v>
      </c>
      <c r="E7" s="220" t="s">
        <v>121</v>
      </c>
      <c r="F7" s="220" t="s">
        <v>122</v>
      </c>
      <c r="G7" s="220" t="s">
        <v>123</v>
      </c>
      <c r="H7" s="220" t="s">
        <v>124</v>
      </c>
      <c r="I7" s="220" t="s">
        <v>125</v>
      </c>
      <c r="J7" s="220" t="s">
        <v>126</v>
      </c>
      <c r="K7" s="220" t="s">
        <v>127</v>
      </c>
      <c r="L7" s="220" t="s">
        <v>128</v>
      </c>
      <c r="M7" s="220" t="s">
        <v>382</v>
      </c>
      <c r="N7" s="221" t="s">
        <v>383</v>
      </c>
    </row>
    <row r="8" spans="2:14" ht="72" customHeight="1">
      <c r="B8" s="222" t="s">
        <v>131</v>
      </c>
      <c r="C8" s="112" t="s">
        <v>248</v>
      </c>
      <c r="D8" s="111" t="s">
        <v>249</v>
      </c>
      <c r="E8" s="113">
        <v>3</v>
      </c>
      <c r="F8" s="113">
        <v>3</v>
      </c>
      <c r="G8" s="113">
        <v>3</v>
      </c>
      <c r="H8" s="114">
        <f>E8*F8*G8</f>
        <v>27</v>
      </c>
      <c r="I8" s="115" t="str">
        <f>IF(H8="","",IF(H8&gt;=80,"SANGAT TINGGI",IF(H8&gt;=40,"TINGGI",IF(H8&gt;=20,"SEDANG",IF(H8&gt;=10,"RENDAH","SANGAT RENDAH")))))</f>
        <v>SEDANG</v>
      </c>
      <c r="J8" s="111" t="s">
        <v>250</v>
      </c>
      <c r="K8" s="111" t="s">
        <v>251</v>
      </c>
      <c r="L8" s="111" t="s">
        <v>252</v>
      </c>
      <c r="M8" s="113"/>
      <c r="N8" s="223" t="s">
        <v>137</v>
      </c>
    </row>
    <row r="9" spans="2:14" ht="72" customHeight="1">
      <c r="B9" s="224" t="s">
        <v>138</v>
      </c>
      <c r="C9" s="80" t="s">
        <v>254</v>
      </c>
      <c r="D9" s="79" t="s">
        <v>255</v>
      </c>
      <c r="E9" s="81">
        <v>2</v>
      </c>
      <c r="F9" s="81">
        <v>3</v>
      </c>
      <c r="G9" s="81">
        <v>4</v>
      </c>
      <c r="H9" s="82">
        <f>E9*F9*G9</f>
        <v>24</v>
      </c>
      <c r="I9" s="83" t="str">
        <f>IF(H9="","",IF(H9&gt;=80,"SANGAT TINGGI",IF(H9&gt;=40,"TINGGI",IF(H9&gt;=20,"SEDANG",IF(H9&gt;=10,"RENDAH","SANGAT RENDAH")))))</f>
        <v>SEDANG</v>
      </c>
      <c r="J9" s="79" t="s">
        <v>256</v>
      </c>
      <c r="K9" s="79" t="s">
        <v>257</v>
      </c>
      <c r="L9" s="79" t="s">
        <v>160</v>
      </c>
      <c r="M9" s="81"/>
      <c r="N9" s="225" t="s">
        <v>137</v>
      </c>
    </row>
    <row r="10" spans="2:14" ht="72" customHeight="1">
      <c r="B10" s="222" t="s">
        <v>144</v>
      </c>
      <c r="C10" s="112" t="s">
        <v>259</v>
      </c>
      <c r="D10" s="111" t="s">
        <v>260</v>
      </c>
      <c r="E10" s="113">
        <v>3</v>
      </c>
      <c r="F10" s="113">
        <v>4</v>
      </c>
      <c r="G10" s="113">
        <v>3</v>
      </c>
      <c r="H10" s="114">
        <f>E10*F10*G10</f>
        <v>36</v>
      </c>
      <c r="I10" s="115" t="str">
        <f>IF(H10="","",IF(H10&gt;=80,"SANGAT TINGGI",IF(H10&gt;=40,"TINGGI",IF(H10&gt;=20,"SEDANG",IF(H10&gt;=10,"RENDAH","SANGAT RENDAH")))))</f>
        <v>SEDANG</v>
      </c>
      <c r="J10" s="111" t="s">
        <v>261</v>
      </c>
      <c r="K10" s="111" t="s">
        <v>262</v>
      </c>
      <c r="L10" s="111" t="s">
        <v>252</v>
      </c>
      <c r="M10" s="113"/>
      <c r="N10" s="223" t="s">
        <v>137</v>
      </c>
    </row>
    <row r="11" spans="2:14" ht="50" customHeight="1">
      <c r="B11" s="226"/>
      <c r="C11" s="169"/>
      <c r="D11" s="169"/>
      <c r="E11" s="169"/>
      <c r="F11" s="169"/>
      <c r="G11" s="169"/>
      <c r="H11" s="82" t="str">
        <f>IF(AND(E11&lt;&gt;"",F11&lt;&gt;"",G11&lt;&gt;""),E11*F11*G11,"")</f>
        <v/>
      </c>
      <c r="I11" s="83" t="str">
        <f>IF(H11="","",IF(H11&gt;=80,"SANGAT TINGGI",IF(H11&gt;=40,"TINGGI",IF(H11&gt;=20,"SEDANG",IF(H11&gt;=10,"RENDAH","SANGAT RENDAH")))))</f>
        <v/>
      </c>
      <c r="J11" s="169"/>
      <c r="K11" s="169"/>
      <c r="L11" s="169"/>
      <c r="M11" s="169"/>
      <c r="N11" s="227"/>
    </row>
    <row r="12" spans="2:14" ht="50" customHeight="1">
      <c r="B12" s="228"/>
      <c r="C12" s="229"/>
      <c r="D12" s="229"/>
      <c r="E12" s="229"/>
      <c r="F12" s="229"/>
      <c r="G12" s="229"/>
      <c r="H12" s="230" t="str">
        <f>IF(AND(E12&lt;&gt;"",F12&lt;&gt;"",G12&lt;&gt;""),E12*F12*G12,"")</f>
        <v/>
      </c>
      <c r="I12" s="231" t="str">
        <f>IF(H12="","",IF(H12&gt;=80,"SANGAT TINGGI",IF(H12&gt;=40,"TINGGI",IF(H12&gt;=20,"SEDANG",IF(H12&gt;=10,"RENDAH","SANGAT RENDAH")))))</f>
        <v/>
      </c>
      <c r="J12" s="229"/>
      <c r="K12" s="229"/>
      <c r="L12" s="229"/>
      <c r="M12" s="229"/>
      <c r="N12" s="232"/>
    </row>
    <row r="15" spans="2:14" ht="18" customHeight="1">
      <c r="B15" s="450" t="s">
        <v>384</v>
      </c>
      <c r="C15" s="409"/>
      <c r="D15" s="409"/>
      <c r="E15" s="409"/>
      <c r="F15" s="409"/>
      <c r="G15" s="411"/>
      <c r="I15" s="450" t="s">
        <v>385</v>
      </c>
      <c r="J15" s="409"/>
      <c r="K15" s="409"/>
      <c r="L15" s="409"/>
      <c r="M15" s="409"/>
      <c r="N15" s="411"/>
    </row>
    <row r="16" spans="2:14">
      <c r="B16" s="176"/>
      <c r="C16" s="3"/>
      <c r="D16" s="3"/>
      <c r="E16" s="3"/>
      <c r="F16" s="3"/>
      <c r="G16" s="4"/>
      <c r="I16" s="176"/>
      <c r="J16" s="3"/>
      <c r="K16" s="3"/>
      <c r="L16" s="3"/>
      <c r="M16" s="3"/>
      <c r="N16" s="4"/>
    </row>
    <row r="17" spans="2:14">
      <c r="B17" s="176"/>
      <c r="C17" s="3"/>
      <c r="D17" s="3"/>
      <c r="E17" s="3"/>
      <c r="F17" s="3"/>
      <c r="G17" s="4"/>
      <c r="I17" s="176"/>
      <c r="J17" s="3"/>
      <c r="K17" s="3"/>
      <c r="L17" s="3"/>
      <c r="M17" s="3"/>
      <c r="N17" s="4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 ht="18" customHeight="1">
      <c r="B19" s="449" t="s">
        <v>386</v>
      </c>
      <c r="C19" s="405"/>
      <c r="D19" s="405"/>
      <c r="E19" s="405"/>
      <c r="F19" s="405"/>
      <c r="G19" s="418"/>
      <c r="I19" s="449" t="s">
        <v>386</v>
      </c>
      <c r="J19" s="405"/>
      <c r="K19" s="405"/>
      <c r="L19" s="405"/>
      <c r="M19" s="405"/>
      <c r="N19" s="418"/>
    </row>
  </sheetData>
  <mergeCells count="6">
    <mergeCell ref="I15:N15"/>
    <mergeCell ref="B19:G19"/>
    <mergeCell ref="I19:N19"/>
    <mergeCell ref="B3:N3"/>
    <mergeCell ref="B2:N2"/>
    <mergeCell ref="B15:G15"/>
  </mergeCells>
  <conditionalFormatting sqref="H8:H12">
    <cfRule type="cellIs" dxfId="69" priority="1" operator="between">
      <formula>80</formula>
      <formula>125</formula>
    </cfRule>
    <cfRule type="cellIs" dxfId="68" priority="2" operator="between">
      <formula>40</formula>
      <formula>79</formula>
    </cfRule>
    <cfRule type="cellIs" dxfId="67" priority="3" operator="between">
      <formula>20</formula>
      <formula>39</formula>
    </cfRule>
    <cfRule type="cellIs" dxfId="66" priority="4" operator="between">
      <formula>10</formula>
      <formula>19</formula>
    </cfRule>
    <cfRule type="cellIs" dxfId="65" priority="5" operator="between">
      <formula>1</formula>
      <formula>9</formula>
    </cfRule>
  </conditionalFormatting>
  <conditionalFormatting sqref="I8:I12">
    <cfRule type="expression" dxfId="64" priority="6">
      <formula>EXACT(I8,"SANGAT TINGGI")</formula>
    </cfRule>
    <cfRule type="expression" dxfId="63" priority="7">
      <formula>EXACT(I8,"TINGGI")</formula>
    </cfRule>
    <cfRule type="expression" dxfId="62" priority="8">
      <formula>EXACT(I8,"SEDANG")</formula>
    </cfRule>
    <cfRule type="expression" dxfId="61" priority="9">
      <formula>EXACT(I8,"RENDAH")</formula>
    </cfRule>
    <cfRule type="expression" dxfId="60" priority="10">
      <formula>EXACT(I8,"SANGAT RENDAH")</formula>
    </cfRule>
  </conditionalFormatting>
  <dataValidations count="2">
    <dataValidation type="list" allowBlank="1" sqref="E8:G12">
      <formula1>"1,2,3,4,5"</formula1>
    </dataValidation>
    <dataValidation type="list" allowBlank="1" sqref="N8:N12">
      <formula1>"Belum dimulai,Dalam proses,Selesai,Dipantau"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B2:N20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391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233" t="s">
        <v>116</v>
      </c>
      <c r="C7" s="234" t="s">
        <v>380</v>
      </c>
      <c r="D7" s="234" t="s">
        <v>381</v>
      </c>
      <c r="E7" s="234" t="s">
        <v>121</v>
      </c>
      <c r="F7" s="234" t="s">
        <v>122</v>
      </c>
      <c r="G7" s="234" t="s">
        <v>123</v>
      </c>
      <c r="H7" s="234" t="s">
        <v>124</v>
      </c>
      <c r="I7" s="234" t="s">
        <v>125</v>
      </c>
      <c r="J7" s="234" t="s">
        <v>126</v>
      </c>
      <c r="K7" s="234" t="s">
        <v>127</v>
      </c>
      <c r="L7" s="234" t="s">
        <v>128</v>
      </c>
      <c r="M7" s="234" t="s">
        <v>382</v>
      </c>
      <c r="N7" s="235" t="s">
        <v>383</v>
      </c>
    </row>
    <row r="8" spans="2:14" ht="72" customHeight="1">
      <c r="B8" s="236" t="s">
        <v>131</v>
      </c>
      <c r="C8" s="120" t="s">
        <v>264</v>
      </c>
      <c r="D8" s="119" t="s">
        <v>265</v>
      </c>
      <c r="E8" s="121">
        <v>3</v>
      </c>
      <c r="F8" s="121">
        <v>5</v>
      </c>
      <c r="G8" s="121">
        <v>2</v>
      </c>
      <c r="H8" s="122">
        <f>E8*F8*G8</f>
        <v>30</v>
      </c>
      <c r="I8" s="123" t="str">
        <f t="shared" ref="I8:I13" si="0">IF(H8="","",IF(H8&gt;=80,"SANGAT TINGGI",IF(H8&gt;=40,"TINGGI",IF(H8&gt;=20,"SEDANG",IF(H8&gt;=10,"RENDAH","SANGAT RENDAH")))))</f>
        <v>SEDANG</v>
      </c>
      <c r="J8" s="119" t="s">
        <v>266</v>
      </c>
      <c r="K8" s="119" t="s">
        <v>267</v>
      </c>
      <c r="L8" s="119" t="s">
        <v>268</v>
      </c>
      <c r="M8" s="121"/>
      <c r="N8" s="237" t="s">
        <v>137</v>
      </c>
    </row>
    <row r="9" spans="2:14" ht="72" customHeight="1">
      <c r="B9" s="238" t="s">
        <v>138</v>
      </c>
      <c r="C9" s="80" t="s">
        <v>270</v>
      </c>
      <c r="D9" s="79" t="s">
        <v>271</v>
      </c>
      <c r="E9" s="81">
        <v>3</v>
      </c>
      <c r="F9" s="81">
        <v>5</v>
      </c>
      <c r="G9" s="81">
        <v>2</v>
      </c>
      <c r="H9" s="82">
        <f>E9*F9*G9</f>
        <v>30</v>
      </c>
      <c r="I9" s="83" t="str">
        <f t="shared" si="0"/>
        <v>SEDANG</v>
      </c>
      <c r="J9" s="79" t="s">
        <v>272</v>
      </c>
      <c r="K9" s="79" t="s">
        <v>273</v>
      </c>
      <c r="L9" s="79" t="s">
        <v>268</v>
      </c>
      <c r="M9" s="81"/>
      <c r="N9" s="239" t="s">
        <v>137</v>
      </c>
    </row>
    <row r="10" spans="2:14" ht="72" customHeight="1">
      <c r="B10" s="236" t="s">
        <v>144</v>
      </c>
      <c r="C10" s="120" t="s">
        <v>275</v>
      </c>
      <c r="D10" s="119" t="s">
        <v>276</v>
      </c>
      <c r="E10" s="121">
        <v>2</v>
      </c>
      <c r="F10" s="121">
        <v>5</v>
      </c>
      <c r="G10" s="121">
        <v>3</v>
      </c>
      <c r="H10" s="122">
        <f>E10*F10*G10</f>
        <v>30</v>
      </c>
      <c r="I10" s="123" t="str">
        <f t="shared" si="0"/>
        <v>SEDANG</v>
      </c>
      <c r="J10" s="119" t="s">
        <v>277</v>
      </c>
      <c r="K10" s="119" t="s">
        <v>278</v>
      </c>
      <c r="L10" s="119" t="s">
        <v>268</v>
      </c>
      <c r="M10" s="121"/>
      <c r="N10" s="237" t="s">
        <v>137</v>
      </c>
    </row>
    <row r="11" spans="2:14" ht="72" customHeight="1">
      <c r="B11" s="238" t="s">
        <v>150</v>
      </c>
      <c r="C11" s="80" t="s">
        <v>280</v>
      </c>
      <c r="D11" s="79" t="s">
        <v>281</v>
      </c>
      <c r="E11" s="81">
        <v>3</v>
      </c>
      <c r="F11" s="81">
        <v>5</v>
      </c>
      <c r="G11" s="81">
        <v>3</v>
      </c>
      <c r="H11" s="82">
        <f>E11*F11*G11</f>
        <v>45</v>
      </c>
      <c r="I11" s="83" t="str">
        <f t="shared" si="0"/>
        <v>TINGGI</v>
      </c>
      <c r="J11" s="79" t="s">
        <v>282</v>
      </c>
      <c r="K11" s="79" t="s">
        <v>283</v>
      </c>
      <c r="L11" s="79" t="s">
        <v>268</v>
      </c>
      <c r="M11" s="81"/>
      <c r="N11" s="239" t="s">
        <v>137</v>
      </c>
    </row>
    <row r="12" spans="2:14" ht="50" customHeight="1">
      <c r="B12" s="240"/>
      <c r="C12" s="169"/>
      <c r="D12" s="169"/>
      <c r="E12" s="169"/>
      <c r="F12" s="169"/>
      <c r="G12" s="169"/>
      <c r="H12" s="82" t="str">
        <f>IF(AND(E12&lt;&gt;"",F12&lt;&gt;"",G12&lt;&gt;""),E12*F12*G12,"")</f>
        <v/>
      </c>
      <c r="I12" s="83" t="str">
        <f t="shared" si="0"/>
        <v/>
      </c>
      <c r="J12" s="169"/>
      <c r="K12" s="169"/>
      <c r="L12" s="169"/>
      <c r="M12" s="169"/>
      <c r="N12" s="241"/>
    </row>
    <row r="13" spans="2:14" ht="50" customHeight="1">
      <c r="B13" s="242"/>
      <c r="C13" s="243"/>
      <c r="D13" s="243"/>
      <c r="E13" s="243"/>
      <c r="F13" s="243"/>
      <c r="G13" s="243"/>
      <c r="H13" s="244" t="str">
        <f>IF(AND(E13&lt;&gt;"",F13&lt;&gt;"",G13&lt;&gt;""),E13*F13*G13,"")</f>
        <v/>
      </c>
      <c r="I13" s="245" t="str">
        <f t="shared" si="0"/>
        <v/>
      </c>
      <c r="J13" s="243"/>
      <c r="K13" s="243"/>
      <c r="L13" s="243"/>
      <c r="M13" s="243"/>
      <c r="N13" s="246"/>
    </row>
    <row r="16" spans="2:14" ht="18" customHeight="1">
      <c r="B16" s="450" t="s">
        <v>384</v>
      </c>
      <c r="C16" s="409"/>
      <c r="D16" s="409"/>
      <c r="E16" s="409"/>
      <c r="F16" s="409"/>
      <c r="G16" s="411"/>
      <c r="I16" s="450" t="s">
        <v>385</v>
      </c>
      <c r="J16" s="409"/>
      <c r="K16" s="409"/>
      <c r="L16" s="409"/>
      <c r="M16" s="409"/>
      <c r="N16" s="411"/>
    </row>
    <row r="17" spans="2:14">
      <c r="B17" s="176"/>
      <c r="C17" s="3"/>
      <c r="D17" s="3"/>
      <c r="E17" s="3"/>
      <c r="F17" s="3"/>
      <c r="G17" s="4"/>
      <c r="I17" s="176"/>
      <c r="J17" s="3"/>
      <c r="K17" s="3"/>
      <c r="L17" s="3"/>
      <c r="M17" s="3"/>
      <c r="N17" s="4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>
      <c r="B19" s="176"/>
      <c r="C19" s="3"/>
      <c r="D19" s="3"/>
      <c r="E19" s="3"/>
      <c r="F19" s="3"/>
      <c r="G19" s="4"/>
      <c r="I19" s="176"/>
      <c r="J19" s="3"/>
      <c r="K19" s="3"/>
      <c r="L19" s="3"/>
      <c r="M19" s="3"/>
      <c r="N19" s="4"/>
    </row>
    <row r="20" spans="2:14" ht="18" customHeight="1">
      <c r="B20" s="449" t="s">
        <v>386</v>
      </c>
      <c r="C20" s="405"/>
      <c r="D20" s="405"/>
      <c r="E20" s="405"/>
      <c r="F20" s="405"/>
      <c r="G20" s="418"/>
      <c r="I20" s="449" t="s">
        <v>386</v>
      </c>
      <c r="J20" s="405"/>
      <c r="K20" s="405"/>
      <c r="L20" s="405"/>
      <c r="M20" s="405"/>
      <c r="N20" s="418"/>
    </row>
  </sheetData>
  <mergeCells count="6">
    <mergeCell ref="B16:G16"/>
    <mergeCell ref="B20:G20"/>
    <mergeCell ref="B3:N3"/>
    <mergeCell ref="B2:N2"/>
    <mergeCell ref="I20:N20"/>
    <mergeCell ref="I16:N16"/>
  </mergeCells>
  <conditionalFormatting sqref="H8:H13">
    <cfRule type="cellIs" dxfId="59" priority="1" operator="between">
      <formula>80</formula>
      <formula>125</formula>
    </cfRule>
    <cfRule type="cellIs" dxfId="58" priority="2" operator="between">
      <formula>40</formula>
      <formula>79</formula>
    </cfRule>
    <cfRule type="cellIs" dxfId="57" priority="3" operator="between">
      <formula>20</formula>
      <formula>39</formula>
    </cfRule>
    <cfRule type="cellIs" dxfId="56" priority="4" operator="between">
      <formula>10</formula>
      <formula>19</formula>
    </cfRule>
    <cfRule type="cellIs" dxfId="55" priority="5" operator="between">
      <formula>1</formula>
      <formula>9</formula>
    </cfRule>
  </conditionalFormatting>
  <conditionalFormatting sqref="I8:I13">
    <cfRule type="expression" dxfId="54" priority="6">
      <formula>EXACT(I8,"SANGAT TINGGI")</formula>
    </cfRule>
    <cfRule type="expression" dxfId="53" priority="7">
      <formula>EXACT(I8,"TINGGI")</formula>
    </cfRule>
    <cfRule type="expression" dxfId="52" priority="8">
      <formula>EXACT(I8,"SEDANG")</formula>
    </cfRule>
    <cfRule type="expression" dxfId="51" priority="9">
      <formula>EXACT(I8,"RENDAH")</formula>
    </cfRule>
    <cfRule type="expression" dxfId="50" priority="10">
      <formula>EXACT(I8,"SANGAT RENDAH")</formula>
    </cfRule>
  </conditionalFormatting>
  <dataValidations count="2">
    <dataValidation type="list" allowBlank="1" sqref="E8:G13">
      <formula1>"1,2,3,4,5"</formula1>
    </dataValidation>
    <dataValidation type="list" allowBlank="1" sqref="N8:N13">
      <formula1>"Belum dimulai,Dalam proses,Selesai,Dipantau"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B2:N19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392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247" t="s">
        <v>116</v>
      </c>
      <c r="C7" s="248" t="s">
        <v>380</v>
      </c>
      <c r="D7" s="248" t="s">
        <v>381</v>
      </c>
      <c r="E7" s="248" t="s">
        <v>121</v>
      </c>
      <c r="F7" s="248" t="s">
        <v>122</v>
      </c>
      <c r="G7" s="248" t="s">
        <v>123</v>
      </c>
      <c r="H7" s="248" t="s">
        <v>124</v>
      </c>
      <c r="I7" s="248" t="s">
        <v>125</v>
      </c>
      <c r="J7" s="248" t="s">
        <v>126</v>
      </c>
      <c r="K7" s="248" t="s">
        <v>127</v>
      </c>
      <c r="L7" s="248" t="s">
        <v>128</v>
      </c>
      <c r="M7" s="248" t="s">
        <v>382</v>
      </c>
      <c r="N7" s="249" t="s">
        <v>383</v>
      </c>
    </row>
    <row r="8" spans="2:14" ht="72" customHeight="1">
      <c r="B8" s="250" t="s">
        <v>131</v>
      </c>
      <c r="C8" s="104" t="s">
        <v>285</v>
      </c>
      <c r="D8" s="103" t="s">
        <v>286</v>
      </c>
      <c r="E8" s="105">
        <v>4</v>
      </c>
      <c r="F8" s="105">
        <v>4</v>
      </c>
      <c r="G8" s="105">
        <v>3</v>
      </c>
      <c r="H8" s="106">
        <f>E8*F8*G8</f>
        <v>48</v>
      </c>
      <c r="I8" s="107" t="str">
        <f>IF(H8="","",IF(H8&gt;=80,"SANGAT TINGGI",IF(H8&gt;=40,"TINGGI",IF(H8&gt;=20,"SEDANG",IF(H8&gt;=10,"RENDAH","SANGAT RENDAH")))))</f>
        <v>TINGGI</v>
      </c>
      <c r="J8" s="103" t="s">
        <v>287</v>
      </c>
      <c r="K8" s="103" t="s">
        <v>288</v>
      </c>
      <c r="L8" s="103" t="s">
        <v>289</v>
      </c>
      <c r="M8" s="105"/>
      <c r="N8" s="251" t="s">
        <v>137</v>
      </c>
    </row>
    <row r="9" spans="2:14" ht="72" customHeight="1">
      <c r="B9" s="252" t="s">
        <v>138</v>
      </c>
      <c r="C9" s="80" t="s">
        <v>291</v>
      </c>
      <c r="D9" s="79" t="s">
        <v>292</v>
      </c>
      <c r="E9" s="81">
        <v>3</v>
      </c>
      <c r="F9" s="81">
        <v>5</v>
      </c>
      <c r="G9" s="81">
        <v>3</v>
      </c>
      <c r="H9" s="82">
        <f>E9*F9*G9</f>
        <v>45</v>
      </c>
      <c r="I9" s="83" t="str">
        <f>IF(H9="","",IF(H9&gt;=80,"SANGAT TINGGI",IF(H9&gt;=40,"TINGGI",IF(H9&gt;=20,"SEDANG",IF(H9&gt;=10,"RENDAH","SANGAT RENDAH")))))</f>
        <v>TINGGI</v>
      </c>
      <c r="J9" s="79" t="s">
        <v>293</v>
      </c>
      <c r="K9" s="79" t="s">
        <v>294</v>
      </c>
      <c r="L9" s="79" t="s">
        <v>289</v>
      </c>
      <c r="M9" s="81"/>
      <c r="N9" s="253" t="s">
        <v>137</v>
      </c>
    </row>
    <row r="10" spans="2:14" ht="72" customHeight="1">
      <c r="B10" s="250" t="s">
        <v>144</v>
      </c>
      <c r="C10" s="104" t="s">
        <v>296</v>
      </c>
      <c r="D10" s="103" t="s">
        <v>297</v>
      </c>
      <c r="E10" s="105">
        <v>2</v>
      </c>
      <c r="F10" s="105">
        <v>4</v>
      </c>
      <c r="G10" s="105">
        <v>4</v>
      </c>
      <c r="H10" s="106">
        <f>E10*F10*G10</f>
        <v>32</v>
      </c>
      <c r="I10" s="107" t="str">
        <f>IF(H10="","",IF(H10&gt;=80,"SANGAT TINGGI",IF(H10&gt;=40,"TINGGI",IF(H10&gt;=20,"SEDANG",IF(H10&gt;=10,"RENDAH","SANGAT RENDAH")))))</f>
        <v>SEDANG</v>
      </c>
      <c r="J10" s="103" t="s">
        <v>298</v>
      </c>
      <c r="K10" s="103" t="s">
        <v>299</v>
      </c>
      <c r="L10" s="103" t="s">
        <v>300</v>
      </c>
      <c r="M10" s="105"/>
      <c r="N10" s="251" t="s">
        <v>137</v>
      </c>
    </row>
    <row r="11" spans="2:14" ht="50" customHeight="1">
      <c r="B11" s="254"/>
      <c r="C11" s="169"/>
      <c r="D11" s="169"/>
      <c r="E11" s="169"/>
      <c r="F11" s="169"/>
      <c r="G11" s="169"/>
      <c r="H11" s="82" t="str">
        <f>IF(AND(E11&lt;&gt;"",F11&lt;&gt;"",G11&lt;&gt;""),E11*F11*G11,"")</f>
        <v/>
      </c>
      <c r="I11" s="83" t="str">
        <f>IF(H11="","",IF(H11&gt;=80,"SANGAT TINGGI",IF(H11&gt;=40,"TINGGI",IF(H11&gt;=20,"SEDANG",IF(H11&gt;=10,"RENDAH","SANGAT RENDAH")))))</f>
        <v/>
      </c>
      <c r="J11" s="169"/>
      <c r="K11" s="169"/>
      <c r="L11" s="169"/>
      <c r="M11" s="169"/>
      <c r="N11" s="255"/>
    </row>
    <row r="12" spans="2:14" ht="50" customHeight="1">
      <c r="B12" s="256"/>
      <c r="C12" s="257"/>
      <c r="D12" s="257"/>
      <c r="E12" s="257"/>
      <c r="F12" s="257"/>
      <c r="G12" s="257"/>
      <c r="H12" s="258" t="str">
        <f>IF(AND(E12&lt;&gt;"",F12&lt;&gt;"",G12&lt;&gt;""),E12*F12*G12,"")</f>
        <v/>
      </c>
      <c r="I12" s="259" t="str">
        <f>IF(H12="","",IF(H12&gt;=80,"SANGAT TINGGI",IF(H12&gt;=40,"TINGGI",IF(H12&gt;=20,"SEDANG",IF(H12&gt;=10,"RENDAH","SANGAT RENDAH")))))</f>
        <v/>
      </c>
      <c r="J12" s="257"/>
      <c r="K12" s="257"/>
      <c r="L12" s="257"/>
      <c r="M12" s="257"/>
      <c r="N12" s="260"/>
    </row>
    <row r="15" spans="2:14" ht="18" customHeight="1">
      <c r="B15" s="450" t="s">
        <v>384</v>
      </c>
      <c r="C15" s="409"/>
      <c r="D15" s="409"/>
      <c r="E15" s="409"/>
      <c r="F15" s="409"/>
      <c r="G15" s="411"/>
      <c r="I15" s="450" t="s">
        <v>385</v>
      </c>
      <c r="J15" s="409"/>
      <c r="K15" s="409"/>
      <c r="L15" s="409"/>
      <c r="M15" s="409"/>
      <c r="N15" s="411"/>
    </row>
    <row r="16" spans="2:14">
      <c r="B16" s="176"/>
      <c r="C16" s="3"/>
      <c r="D16" s="3"/>
      <c r="E16" s="3"/>
      <c r="F16" s="3"/>
      <c r="G16" s="4"/>
      <c r="I16" s="176"/>
      <c r="J16" s="3"/>
      <c r="K16" s="3"/>
      <c r="L16" s="3"/>
      <c r="M16" s="3"/>
      <c r="N16" s="4"/>
    </row>
    <row r="17" spans="2:14">
      <c r="B17" s="176"/>
      <c r="C17" s="3"/>
      <c r="D17" s="3"/>
      <c r="E17" s="3"/>
      <c r="F17" s="3"/>
      <c r="G17" s="4"/>
      <c r="I17" s="176"/>
      <c r="J17" s="3"/>
      <c r="K17" s="3"/>
      <c r="L17" s="3"/>
      <c r="M17" s="3"/>
      <c r="N17" s="4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 ht="18" customHeight="1">
      <c r="B19" s="449" t="s">
        <v>386</v>
      </c>
      <c r="C19" s="405"/>
      <c r="D19" s="405"/>
      <c r="E19" s="405"/>
      <c r="F19" s="405"/>
      <c r="G19" s="418"/>
      <c r="I19" s="449" t="s">
        <v>386</v>
      </c>
      <c r="J19" s="405"/>
      <c r="K19" s="405"/>
      <c r="L19" s="405"/>
      <c r="M19" s="405"/>
      <c r="N19" s="418"/>
    </row>
  </sheetData>
  <mergeCells count="6">
    <mergeCell ref="I15:N15"/>
    <mergeCell ref="B19:G19"/>
    <mergeCell ref="I19:N19"/>
    <mergeCell ref="B3:N3"/>
    <mergeCell ref="B2:N2"/>
    <mergeCell ref="B15:G15"/>
  </mergeCells>
  <conditionalFormatting sqref="H8:H12">
    <cfRule type="cellIs" dxfId="49" priority="1" operator="between">
      <formula>80</formula>
      <formula>125</formula>
    </cfRule>
    <cfRule type="cellIs" dxfId="48" priority="2" operator="between">
      <formula>40</formula>
      <formula>79</formula>
    </cfRule>
    <cfRule type="cellIs" dxfId="47" priority="3" operator="between">
      <formula>20</formula>
      <formula>39</formula>
    </cfRule>
    <cfRule type="cellIs" dxfId="46" priority="4" operator="between">
      <formula>10</formula>
      <formula>19</formula>
    </cfRule>
    <cfRule type="cellIs" dxfId="45" priority="5" operator="between">
      <formula>1</formula>
      <formula>9</formula>
    </cfRule>
  </conditionalFormatting>
  <conditionalFormatting sqref="I8:I12">
    <cfRule type="expression" dxfId="44" priority="6">
      <formula>EXACT(I8,"SANGAT TINGGI")</formula>
    </cfRule>
    <cfRule type="expression" dxfId="43" priority="7">
      <formula>EXACT(I8,"TINGGI")</formula>
    </cfRule>
    <cfRule type="expression" dxfId="42" priority="8">
      <formula>EXACT(I8,"SEDANG")</formula>
    </cfRule>
    <cfRule type="expression" dxfId="41" priority="9">
      <formula>EXACT(I8,"RENDAH")</formula>
    </cfRule>
    <cfRule type="expression" dxfId="40" priority="10">
      <formula>EXACT(I8,"SANGAT RENDAH")</formula>
    </cfRule>
  </conditionalFormatting>
  <dataValidations count="2">
    <dataValidation type="list" allowBlank="1" sqref="E8:G12">
      <formula1>"1,2,3,4,5"</formula1>
    </dataValidation>
    <dataValidation type="list" allowBlank="1" sqref="N8:N12">
      <formula1>"Belum dimulai,Dalam proses,Selesai,Dipantau"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B2:N19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393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261" t="s">
        <v>116</v>
      </c>
      <c r="C7" s="262" t="s">
        <v>380</v>
      </c>
      <c r="D7" s="262" t="s">
        <v>381</v>
      </c>
      <c r="E7" s="262" t="s">
        <v>121</v>
      </c>
      <c r="F7" s="262" t="s">
        <v>122</v>
      </c>
      <c r="G7" s="262" t="s">
        <v>123</v>
      </c>
      <c r="H7" s="262" t="s">
        <v>124</v>
      </c>
      <c r="I7" s="262" t="s">
        <v>125</v>
      </c>
      <c r="J7" s="262" t="s">
        <v>126</v>
      </c>
      <c r="K7" s="262" t="s">
        <v>127</v>
      </c>
      <c r="L7" s="262" t="s">
        <v>128</v>
      </c>
      <c r="M7" s="262" t="s">
        <v>382</v>
      </c>
      <c r="N7" s="263" t="s">
        <v>383</v>
      </c>
    </row>
    <row r="8" spans="2:14" ht="72" customHeight="1">
      <c r="B8" s="264" t="s">
        <v>131</v>
      </c>
      <c r="C8" s="128" t="s">
        <v>302</v>
      </c>
      <c r="D8" s="127" t="s">
        <v>303</v>
      </c>
      <c r="E8" s="129">
        <v>3</v>
      </c>
      <c r="F8" s="129">
        <v>4</v>
      </c>
      <c r="G8" s="129">
        <v>3</v>
      </c>
      <c r="H8" s="130">
        <f>E8*F8*G8</f>
        <v>36</v>
      </c>
      <c r="I8" s="131" t="str">
        <f>IF(H8="","",IF(H8&gt;=80,"SANGAT TINGGI",IF(H8&gt;=40,"TINGGI",IF(H8&gt;=20,"SEDANG",IF(H8&gt;=10,"RENDAH","SANGAT RENDAH")))))</f>
        <v>SEDANG</v>
      </c>
      <c r="J8" s="127" t="s">
        <v>304</v>
      </c>
      <c r="K8" s="127" t="s">
        <v>305</v>
      </c>
      <c r="L8" s="127" t="s">
        <v>306</v>
      </c>
      <c r="M8" s="129"/>
      <c r="N8" s="265" t="s">
        <v>137</v>
      </c>
    </row>
    <row r="9" spans="2:14" ht="72" customHeight="1">
      <c r="B9" s="266" t="s">
        <v>138</v>
      </c>
      <c r="C9" s="80" t="s">
        <v>308</v>
      </c>
      <c r="D9" s="79" t="s">
        <v>309</v>
      </c>
      <c r="E9" s="81">
        <v>3</v>
      </c>
      <c r="F9" s="81">
        <v>4</v>
      </c>
      <c r="G9" s="81">
        <v>3</v>
      </c>
      <c r="H9" s="82">
        <f>E9*F9*G9</f>
        <v>36</v>
      </c>
      <c r="I9" s="83" t="str">
        <f>IF(H9="","",IF(H9&gt;=80,"SANGAT TINGGI",IF(H9&gt;=40,"TINGGI",IF(H9&gt;=20,"SEDANG",IF(H9&gt;=10,"RENDAH","SANGAT RENDAH")))))</f>
        <v>SEDANG</v>
      </c>
      <c r="J9" s="79" t="s">
        <v>310</v>
      </c>
      <c r="K9" s="79" t="s">
        <v>311</v>
      </c>
      <c r="L9" s="79" t="s">
        <v>306</v>
      </c>
      <c r="M9" s="81"/>
      <c r="N9" s="267" t="s">
        <v>137</v>
      </c>
    </row>
    <row r="10" spans="2:14" ht="72" customHeight="1">
      <c r="B10" s="264" t="s">
        <v>144</v>
      </c>
      <c r="C10" s="128" t="s">
        <v>313</v>
      </c>
      <c r="D10" s="127" t="s">
        <v>314</v>
      </c>
      <c r="E10" s="129">
        <v>3</v>
      </c>
      <c r="F10" s="129">
        <v>3</v>
      </c>
      <c r="G10" s="129">
        <v>4</v>
      </c>
      <c r="H10" s="130">
        <f>E10*F10*G10</f>
        <v>36</v>
      </c>
      <c r="I10" s="131" t="str">
        <f>IF(H10="","",IF(H10&gt;=80,"SANGAT TINGGI",IF(H10&gt;=40,"TINGGI",IF(H10&gt;=20,"SEDANG",IF(H10&gt;=10,"RENDAH","SANGAT RENDAH")))))</f>
        <v>SEDANG</v>
      </c>
      <c r="J10" s="127" t="s">
        <v>315</v>
      </c>
      <c r="K10" s="127" t="s">
        <v>316</v>
      </c>
      <c r="L10" s="127" t="s">
        <v>143</v>
      </c>
      <c r="M10" s="129"/>
      <c r="N10" s="265" t="s">
        <v>137</v>
      </c>
    </row>
    <row r="11" spans="2:14" ht="50" customHeight="1">
      <c r="B11" s="268"/>
      <c r="C11" s="169"/>
      <c r="D11" s="169"/>
      <c r="E11" s="169"/>
      <c r="F11" s="169"/>
      <c r="G11" s="169"/>
      <c r="H11" s="82" t="str">
        <f>IF(AND(E11&lt;&gt;"",F11&lt;&gt;"",G11&lt;&gt;""),E11*F11*G11,"")</f>
        <v/>
      </c>
      <c r="I11" s="83" t="str">
        <f>IF(H11="","",IF(H11&gt;=80,"SANGAT TINGGI",IF(H11&gt;=40,"TINGGI",IF(H11&gt;=20,"SEDANG",IF(H11&gt;=10,"RENDAH","SANGAT RENDAH")))))</f>
        <v/>
      </c>
      <c r="J11" s="169"/>
      <c r="K11" s="169"/>
      <c r="L11" s="169"/>
      <c r="M11" s="169"/>
      <c r="N11" s="269"/>
    </row>
    <row r="12" spans="2:14" ht="50" customHeight="1">
      <c r="B12" s="270"/>
      <c r="C12" s="271"/>
      <c r="D12" s="271"/>
      <c r="E12" s="271"/>
      <c r="F12" s="271"/>
      <c r="G12" s="271"/>
      <c r="H12" s="272" t="str">
        <f>IF(AND(E12&lt;&gt;"",F12&lt;&gt;"",G12&lt;&gt;""),E12*F12*G12,"")</f>
        <v/>
      </c>
      <c r="I12" s="273" t="str">
        <f>IF(H12="","",IF(H12&gt;=80,"SANGAT TINGGI",IF(H12&gt;=40,"TINGGI",IF(H12&gt;=20,"SEDANG",IF(H12&gt;=10,"RENDAH","SANGAT RENDAH")))))</f>
        <v/>
      </c>
      <c r="J12" s="271"/>
      <c r="K12" s="271"/>
      <c r="L12" s="271"/>
      <c r="M12" s="271"/>
      <c r="N12" s="274"/>
    </row>
    <row r="15" spans="2:14" ht="18" customHeight="1">
      <c r="B15" s="450" t="s">
        <v>384</v>
      </c>
      <c r="C15" s="409"/>
      <c r="D15" s="409"/>
      <c r="E15" s="409"/>
      <c r="F15" s="409"/>
      <c r="G15" s="411"/>
      <c r="I15" s="450" t="s">
        <v>385</v>
      </c>
      <c r="J15" s="409"/>
      <c r="K15" s="409"/>
      <c r="L15" s="409"/>
      <c r="M15" s="409"/>
      <c r="N15" s="411"/>
    </row>
    <row r="16" spans="2:14">
      <c r="B16" s="176"/>
      <c r="C16" s="3"/>
      <c r="D16" s="3"/>
      <c r="E16" s="3"/>
      <c r="F16" s="3"/>
      <c r="G16" s="4"/>
      <c r="I16" s="176"/>
      <c r="J16" s="3"/>
      <c r="K16" s="3"/>
      <c r="L16" s="3"/>
      <c r="M16" s="3"/>
      <c r="N16" s="4"/>
    </row>
    <row r="17" spans="2:14">
      <c r="B17" s="176"/>
      <c r="C17" s="3"/>
      <c r="D17" s="3"/>
      <c r="E17" s="3"/>
      <c r="F17" s="3"/>
      <c r="G17" s="4"/>
      <c r="I17" s="176"/>
      <c r="J17" s="3"/>
      <c r="K17" s="3"/>
      <c r="L17" s="3"/>
      <c r="M17" s="3"/>
      <c r="N17" s="4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 ht="18" customHeight="1">
      <c r="B19" s="449" t="s">
        <v>386</v>
      </c>
      <c r="C19" s="405"/>
      <c r="D19" s="405"/>
      <c r="E19" s="405"/>
      <c r="F19" s="405"/>
      <c r="G19" s="418"/>
      <c r="I19" s="449" t="s">
        <v>386</v>
      </c>
      <c r="J19" s="405"/>
      <c r="K19" s="405"/>
      <c r="L19" s="405"/>
      <c r="M19" s="405"/>
      <c r="N19" s="418"/>
    </row>
  </sheetData>
  <mergeCells count="6">
    <mergeCell ref="I15:N15"/>
    <mergeCell ref="B19:G19"/>
    <mergeCell ref="I19:N19"/>
    <mergeCell ref="B3:N3"/>
    <mergeCell ref="B2:N2"/>
    <mergeCell ref="B15:G15"/>
  </mergeCells>
  <conditionalFormatting sqref="H8:H12">
    <cfRule type="cellIs" dxfId="39" priority="1" operator="between">
      <formula>80</formula>
      <formula>125</formula>
    </cfRule>
    <cfRule type="cellIs" dxfId="38" priority="2" operator="between">
      <formula>40</formula>
      <formula>79</formula>
    </cfRule>
    <cfRule type="cellIs" dxfId="37" priority="3" operator="between">
      <formula>20</formula>
      <formula>39</formula>
    </cfRule>
    <cfRule type="cellIs" dxfId="36" priority="4" operator="between">
      <formula>10</formula>
      <formula>19</formula>
    </cfRule>
    <cfRule type="cellIs" dxfId="35" priority="5" operator="between">
      <formula>1</formula>
      <formula>9</formula>
    </cfRule>
  </conditionalFormatting>
  <conditionalFormatting sqref="I8:I12">
    <cfRule type="expression" dxfId="34" priority="6">
      <formula>EXACT(I8,"SANGAT TINGGI")</formula>
    </cfRule>
    <cfRule type="expression" dxfId="33" priority="7">
      <formula>EXACT(I8,"TINGGI")</formula>
    </cfRule>
    <cfRule type="expression" dxfId="32" priority="8">
      <formula>EXACT(I8,"SEDANG")</formula>
    </cfRule>
    <cfRule type="expression" dxfId="31" priority="9">
      <formula>EXACT(I8,"RENDAH")</formula>
    </cfRule>
    <cfRule type="expression" dxfId="30" priority="10">
      <formula>EXACT(I8,"SANGAT RENDAH")</formula>
    </cfRule>
  </conditionalFormatting>
  <dataValidations count="2">
    <dataValidation type="list" allowBlank="1" sqref="E8:G12">
      <formula1>"1,2,3,4,5"</formula1>
    </dataValidation>
    <dataValidation type="list" allowBlank="1" sqref="N8:N12">
      <formula1>"Belum dimulai,Dalam proses,Selesai,Dipantau"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B2:N20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394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275" t="s">
        <v>116</v>
      </c>
      <c r="C7" s="276" t="s">
        <v>380</v>
      </c>
      <c r="D7" s="276" t="s">
        <v>381</v>
      </c>
      <c r="E7" s="276" t="s">
        <v>121</v>
      </c>
      <c r="F7" s="276" t="s">
        <v>122</v>
      </c>
      <c r="G7" s="276" t="s">
        <v>123</v>
      </c>
      <c r="H7" s="276" t="s">
        <v>124</v>
      </c>
      <c r="I7" s="276" t="s">
        <v>125</v>
      </c>
      <c r="J7" s="276" t="s">
        <v>126</v>
      </c>
      <c r="K7" s="276" t="s">
        <v>127</v>
      </c>
      <c r="L7" s="276" t="s">
        <v>128</v>
      </c>
      <c r="M7" s="276" t="s">
        <v>382</v>
      </c>
      <c r="N7" s="277" t="s">
        <v>383</v>
      </c>
    </row>
    <row r="8" spans="2:14" ht="72" customHeight="1">
      <c r="B8" s="278" t="s">
        <v>131</v>
      </c>
      <c r="C8" s="136" t="s">
        <v>318</v>
      </c>
      <c r="D8" s="135" t="s">
        <v>319</v>
      </c>
      <c r="E8" s="137">
        <v>4</v>
      </c>
      <c r="F8" s="137">
        <v>4</v>
      </c>
      <c r="G8" s="137">
        <v>3</v>
      </c>
      <c r="H8" s="138">
        <f>E8*F8*G8</f>
        <v>48</v>
      </c>
      <c r="I8" s="139" t="str">
        <f t="shared" ref="I8:I13" si="0">IF(H8="","",IF(H8&gt;=80,"SANGAT TINGGI",IF(H8&gt;=40,"TINGGI",IF(H8&gt;=20,"SEDANG",IF(H8&gt;=10,"RENDAH","SANGAT RENDAH")))))</f>
        <v>TINGGI</v>
      </c>
      <c r="J8" s="135" t="s">
        <v>320</v>
      </c>
      <c r="K8" s="135" t="s">
        <v>321</v>
      </c>
      <c r="L8" s="135" t="s">
        <v>289</v>
      </c>
      <c r="M8" s="137"/>
      <c r="N8" s="279" t="s">
        <v>137</v>
      </c>
    </row>
    <row r="9" spans="2:14" ht="72" customHeight="1">
      <c r="B9" s="280" t="s">
        <v>138</v>
      </c>
      <c r="C9" s="80" t="s">
        <v>323</v>
      </c>
      <c r="D9" s="79" t="s">
        <v>324</v>
      </c>
      <c r="E9" s="81">
        <v>4</v>
      </c>
      <c r="F9" s="81">
        <v>5</v>
      </c>
      <c r="G9" s="81">
        <v>3</v>
      </c>
      <c r="H9" s="82">
        <f>E9*F9*G9</f>
        <v>60</v>
      </c>
      <c r="I9" s="83" t="str">
        <f t="shared" si="0"/>
        <v>TINGGI</v>
      </c>
      <c r="J9" s="79" t="s">
        <v>325</v>
      </c>
      <c r="K9" s="79" t="s">
        <v>326</v>
      </c>
      <c r="L9" s="79" t="s">
        <v>327</v>
      </c>
      <c r="M9" s="81"/>
      <c r="N9" s="281" t="s">
        <v>137</v>
      </c>
    </row>
    <row r="10" spans="2:14" ht="72" customHeight="1">
      <c r="B10" s="278" t="s">
        <v>144</v>
      </c>
      <c r="C10" s="136" t="s">
        <v>329</v>
      </c>
      <c r="D10" s="135" t="s">
        <v>330</v>
      </c>
      <c r="E10" s="137">
        <v>3</v>
      </c>
      <c r="F10" s="137">
        <v>4</v>
      </c>
      <c r="G10" s="137">
        <v>3</v>
      </c>
      <c r="H10" s="138">
        <f>E10*F10*G10</f>
        <v>36</v>
      </c>
      <c r="I10" s="139" t="str">
        <f t="shared" si="0"/>
        <v>SEDANG</v>
      </c>
      <c r="J10" s="135" t="s">
        <v>331</v>
      </c>
      <c r="K10" s="135" t="s">
        <v>332</v>
      </c>
      <c r="L10" s="135" t="s">
        <v>289</v>
      </c>
      <c r="M10" s="137"/>
      <c r="N10" s="279" t="s">
        <v>137</v>
      </c>
    </row>
    <row r="11" spans="2:14" ht="72" customHeight="1">
      <c r="B11" s="280" t="s">
        <v>150</v>
      </c>
      <c r="C11" s="80" t="s">
        <v>334</v>
      </c>
      <c r="D11" s="79" t="s">
        <v>335</v>
      </c>
      <c r="E11" s="81">
        <v>2</v>
      </c>
      <c r="F11" s="81">
        <v>4</v>
      </c>
      <c r="G11" s="81">
        <v>3</v>
      </c>
      <c r="H11" s="82">
        <f>E11*F11*G11</f>
        <v>24</v>
      </c>
      <c r="I11" s="83" t="str">
        <f t="shared" si="0"/>
        <v>SEDANG</v>
      </c>
      <c r="J11" s="79" t="s">
        <v>336</v>
      </c>
      <c r="K11" s="79" t="s">
        <v>337</v>
      </c>
      <c r="L11" s="79" t="s">
        <v>289</v>
      </c>
      <c r="M11" s="81"/>
      <c r="N11" s="281" t="s">
        <v>137</v>
      </c>
    </row>
    <row r="12" spans="2:14" ht="50" customHeight="1">
      <c r="B12" s="282"/>
      <c r="C12" s="169"/>
      <c r="D12" s="169"/>
      <c r="E12" s="169"/>
      <c r="F12" s="169"/>
      <c r="G12" s="169"/>
      <c r="H12" s="82" t="str">
        <f>IF(AND(E12&lt;&gt;"",F12&lt;&gt;"",G12&lt;&gt;""),E12*F12*G12,"")</f>
        <v/>
      </c>
      <c r="I12" s="83" t="str">
        <f t="shared" si="0"/>
        <v/>
      </c>
      <c r="J12" s="169"/>
      <c r="K12" s="169"/>
      <c r="L12" s="169"/>
      <c r="M12" s="169"/>
      <c r="N12" s="283"/>
    </row>
    <row r="13" spans="2:14" ht="50" customHeight="1">
      <c r="B13" s="284"/>
      <c r="C13" s="285"/>
      <c r="D13" s="285"/>
      <c r="E13" s="285"/>
      <c r="F13" s="285"/>
      <c r="G13" s="285"/>
      <c r="H13" s="286" t="str">
        <f>IF(AND(E13&lt;&gt;"",F13&lt;&gt;"",G13&lt;&gt;""),E13*F13*G13,"")</f>
        <v/>
      </c>
      <c r="I13" s="287" t="str">
        <f t="shared" si="0"/>
        <v/>
      </c>
      <c r="J13" s="285"/>
      <c r="K13" s="285"/>
      <c r="L13" s="285"/>
      <c r="M13" s="285"/>
      <c r="N13" s="288"/>
    </row>
    <row r="16" spans="2:14" ht="18" customHeight="1">
      <c r="B16" s="450" t="s">
        <v>384</v>
      </c>
      <c r="C16" s="409"/>
      <c r="D16" s="409"/>
      <c r="E16" s="409"/>
      <c r="F16" s="409"/>
      <c r="G16" s="411"/>
      <c r="I16" s="450" t="s">
        <v>385</v>
      </c>
      <c r="J16" s="409"/>
      <c r="K16" s="409"/>
      <c r="L16" s="409"/>
      <c r="M16" s="409"/>
      <c r="N16" s="411"/>
    </row>
    <row r="17" spans="2:14">
      <c r="B17" s="176"/>
      <c r="C17" s="3"/>
      <c r="D17" s="3"/>
      <c r="E17" s="3"/>
      <c r="F17" s="3"/>
      <c r="G17" s="4"/>
      <c r="I17" s="176"/>
      <c r="J17" s="3"/>
      <c r="K17" s="3"/>
      <c r="L17" s="3"/>
      <c r="M17" s="3"/>
      <c r="N17" s="4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>
      <c r="B19" s="176"/>
      <c r="C19" s="3"/>
      <c r="D19" s="3"/>
      <c r="E19" s="3"/>
      <c r="F19" s="3"/>
      <c r="G19" s="4"/>
      <c r="I19" s="176"/>
      <c r="J19" s="3"/>
      <c r="K19" s="3"/>
      <c r="L19" s="3"/>
      <c r="M19" s="3"/>
      <c r="N19" s="4"/>
    </row>
    <row r="20" spans="2:14" ht="18" customHeight="1">
      <c r="B20" s="449" t="s">
        <v>386</v>
      </c>
      <c r="C20" s="405"/>
      <c r="D20" s="405"/>
      <c r="E20" s="405"/>
      <c r="F20" s="405"/>
      <c r="G20" s="418"/>
      <c r="I20" s="449" t="s">
        <v>386</v>
      </c>
      <c r="J20" s="405"/>
      <c r="K20" s="405"/>
      <c r="L20" s="405"/>
      <c r="M20" s="405"/>
      <c r="N20" s="418"/>
    </row>
  </sheetData>
  <mergeCells count="6">
    <mergeCell ref="B16:G16"/>
    <mergeCell ref="B20:G20"/>
    <mergeCell ref="B3:N3"/>
    <mergeCell ref="B2:N2"/>
    <mergeCell ref="I20:N20"/>
    <mergeCell ref="I16:N16"/>
  </mergeCells>
  <conditionalFormatting sqref="H8:H13">
    <cfRule type="cellIs" dxfId="29" priority="1" operator="between">
      <formula>80</formula>
      <formula>125</formula>
    </cfRule>
    <cfRule type="cellIs" dxfId="28" priority="2" operator="between">
      <formula>40</formula>
      <formula>79</formula>
    </cfRule>
    <cfRule type="cellIs" dxfId="27" priority="3" operator="between">
      <formula>20</formula>
      <formula>39</formula>
    </cfRule>
    <cfRule type="cellIs" dxfId="26" priority="4" operator="between">
      <formula>10</formula>
      <formula>19</formula>
    </cfRule>
    <cfRule type="cellIs" dxfId="25" priority="5" operator="between">
      <formula>1</formula>
      <formula>9</formula>
    </cfRule>
  </conditionalFormatting>
  <conditionalFormatting sqref="I8:I13">
    <cfRule type="expression" dxfId="24" priority="6">
      <formula>EXACT(I8,"SANGAT TINGGI")</formula>
    </cfRule>
    <cfRule type="expression" dxfId="23" priority="7">
      <formula>EXACT(I8,"TINGGI")</formula>
    </cfRule>
    <cfRule type="expression" dxfId="22" priority="8">
      <formula>EXACT(I8,"SEDANG")</formula>
    </cfRule>
    <cfRule type="expression" dxfId="21" priority="9">
      <formula>EXACT(I8,"RENDAH")</formula>
    </cfRule>
    <cfRule type="expression" dxfId="20" priority="10">
      <formula>EXACT(I8,"SANGAT RENDAH")</formula>
    </cfRule>
  </conditionalFormatting>
  <dataValidations count="2">
    <dataValidation type="list" allowBlank="1" sqref="E8:G13">
      <formula1>"1,2,3,4,5"</formula1>
    </dataValidation>
    <dataValidation type="list" allowBlank="1" sqref="N8:N13">
      <formula1>"Belum dimulai,Dalam proses,Selesai,Dipantau"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B2:N20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395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289" t="s">
        <v>116</v>
      </c>
      <c r="C7" s="290" t="s">
        <v>380</v>
      </c>
      <c r="D7" s="290" t="s">
        <v>381</v>
      </c>
      <c r="E7" s="290" t="s">
        <v>121</v>
      </c>
      <c r="F7" s="290" t="s">
        <v>122</v>
      </c>
      <c r="G7" s="290" t="s">
        <v>123</v>
      </c>
      <c r="H7" s="290" t="s">
        <v>124</v>
      </c>
      <c r="I7" s="290" t="s">
        <v>125</v>
      </c>
      <c r="J7" s="290" t="s">
        <v>126</v>
      </c>
      <c r="K7" s="290" t="s">
        <v>127</v>
      </c>
      <c r="L7" s="290" t="s">
        <v>128</v>
      </c>
      <c r="M7" s="290" t="s">
        <v>382</v>
      </c>
      <c r="N7" s="291" t="s">
        <v>383</v>
      </c>
    </row>
    <row r="8" spans="2:14" ht="72" customHeight="1">
      <c r="B8" s="292" t="s">
        <v>131</v>
      </c>
      <c r="C8" s="72" t="s">
        <v>339</v>
      </c>
      <c r="D8" s="71" t="s">
        <v>340</v>
      </c>
      <c r="E8" s="73">
        <v>3</v>
      </c>
      <c r="F8" s="73">
        <v>4</v>
      </c>
      <c r="G8" s="73">
        <v>3</v>
      </c>
      <c r="H8" s="74">
        <f>E8*F8*G8</f>
        <v>36</v>
      </c>
      <c r="I8" s="75" t="str">
        <f t="shared" ref="I8:I13" si="0">IF(H8="","",IF(H8&gt;=80,"SANGAT TINGGI",IF(H8&gt;=40,"TINGGI",IF(H8&gt;=20,"SEDANG",IF(H8&gt;=10,"RENDAH","SANGAT RENDAH")))))</f>
        <v>SEDANG</v>
      </c>
      <c r="J8" s="71" t="s">
        <v>341</v>
      </c>
      <c r="K8" s="71" t="s">
        <v>342</v>
      </c>
      <c r="L8" s="71" t="s">
        <v>343</v>
      </c>
      <c r="M8" s="73"/>
      <c r="N8" s="293" t="s">
        <v>137</v>
      </c>
    </row>
    <row r="9" spans="2:14" ht="72" customHeight="1">
      <c r="B9" s="294" t="s">
        <v>138</v>
      </c>
      <c r="C9" s="80" t="s">
        <v>345</v>
      </c>
      <c r="D9" s="79" t="s">
        <v>346</v>
      </c>
      <c r="E9" s="81">
        <v>3</v>
      </c>
      <c r="F9" s="81">
        <v>4</v>
      </c>
      <c r="G9" s="81">
        <v>3</v>
      </c>
      <c r="H9" s="82">
        <f>E9*F9*G9</f>
        <v>36</v>
      </c>
      <c r="I9" s="83" t="str">
        <f t="shared" si="0"/>
        <v>SEDANG</v>
      </c>
      <c r="J9" s="79" t="s">
        <v>347</v>
      </c>
      <c r="K9" s="79" t="s">
        <v>348</v>
      </c>
      <c r="L9" s="79" t="s">
        <v>343</v>
      </c>
      <c r="M9" s="81"/>
      <c r="N9" s="295" t="s">
        <v>137</v>
      </c>
    </row>
    <row r="10" spans="2:14" ht="72" customHeight="1">
      <c r="B10" s="292" t="s">
        <v>144</v>
      </c>
      <c r="C10" s="72" t="s">
        <v>350</v>
      </c>
      <c r="D10" s="71" t="s">
        <v>351</v>
      </c>
      <c r="E10" s="73">
        <v>3</v>
      </c>
      <c r="F10" s="73">
        <v>4</v>
      </c>
      <c r="G10" s="73">
        <v>3</v>
      </c>
      <c r="H10" s="74">
        <f>E10*F10*G10</f>
        <v>36</v>
      </c>
      <c r="I10" s="75" t="str">
        <f t="shared" si="0"/>
        <v>SEDANG</v>
      </c>
      <c r="J10" s="71" t="s">
        <v>352</v>
      </c>
      <c r="K10" s="71" t="s">
        <v>353</v>
      </c>
      <c r="L10" s="71" t="s">
        <v>343</v>
      </c>
      <c r="M10" s="73"/>
      <c r="N10" s="293" t="s">
        <v>137</v>
      </c>
    </row>
    <row r="11" spans="2:14" ht="72" customHeight="1">
      <c r="B11" s="294" t="s">
        <v>150</v>
      </c>
      <c r="C11" s="80" t="s">
        <v>355</v>
      </c>
      <c r="D11" s="79" t="s">
        <v>356</v>
      </c>
      <c r="E11" s="81">
        <v>3</v>
      </c>
      <c r="F11" s="81">
        <v>4</v>
      </c>
      <c r="G11" s="81">
        <v>3</v>
      </c>
      <c r="H11" s="82">
        <f>E11*F11*G11</f>
        <v>36</v>
      </c>
      <c r="I11" s="83" t="str">
        <f t="shared" si="0"/>
        <v>SEDANG</v>
      </c>
      <c r="J11" s="79" t="s">
        <v>357</v>
      </c>
      <c r="K11" s="79" t="s">
        <v>358</v>
      </c>
      <c r="L11" s="79" t="s">
        <v>343</v>
      </c>
      <c r="M11" s="81"/>
      <c r="N11" s="295" t="s">
        <v>137</v>
      </c>
    </row>
    <row r="12" spans="2:14" ht="50" customHeight="1">
      <c r="B12" s="296"/>
      <c r="C12" s="169"/>
      <c r="D12" s="169"/>
      <c r="E12" s="169"/>
      <c r="F12" s="169"/>
      <c r="G12" s="169"/>
      <c r="H12" s="82" t="str">
        <f>IF(AND(E12&lt;&gt;"",F12&lt;&gt;"",G12&lt;&gt;""),E12*F12*G12,"")</f>
        <v/>
      </c>
      <c r="I12" s="83" t="str">
        <f t="shared" si="0"/>
        <v/>
      </c>
      <c r="J12" s="169"/>
      <c r="K12" s="169"/>
      <c r="L12" s="169"/>
      <c r="M12" s="169"/>
      <c r="N12" s="297"/>
    </row>
    <row r="13" spans="2:14" ht="50" customHeight="1">
      <c r="B13" s="298"/>
      <c r="C13" s="299"/>
      <c r="D13" s="299"/>
      <c r="E13" s="299"/>
      <c r="F13" s="299"/>
      <c r="G13" s="299"/>
      <c r="H13" s="300" t="str">
        <f>IF(AND(E13&lt;&gt;"",F13&lt;&gt;"",G13&lt;&gt;""),E13*F13*G13,"")</f>
        <v/>
      </c>
      <c r="I13" s="301" t="str">
        <f t="shared" si="0"/>
        <v/>
      </c>
      <c r="J13" s="299"/>
      <c r="K13" s="299"/>
      <c r="L13" s="299"/>
      <c r="M13" s="299"/>
      <c r="N13" s="302"/>
    </row>
    <row r="16" spans="2:14" ht="18" customHeight="1">
      <c r="B16" s="450" t="s">
        <v>384</v>
      </c>
      <c r="C16" s="409"/>
      <c r="D16" s="409"/>
      <c r="E16" s="409"/>
      <c r="F16" s="409"/>
      <c r="G16" s="411"/>
      <c r="I16" s="450" t="s">
        <v>385</v>
      </c>
      <c r="J16" s="409"/>
      <c r="K16" s="409"/>
      <c r="L16" s="409"/>
      <c r="M16" s="409"/>
      <c r="N16" s="411"/>
    </row>
    <row r="17" spans="2:14">
      <c r="B17" s="176"/>
      <c r="C17" s="3"/>
      <c r="D17" s="3"/>
      <c r="E17" s="3"/>
      <c r="F17" s="3"/>
      <c r="G17" s="4"/>
      <c r="I17" s="176"/>
      <c r="J17" s="3"/>
      <c r="K17" s="3"/>
      <c r="L17" s="3"/>
      <c r="M17" s="3"/>
      <c r="N17" s="4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>
      <c r="B19" s="176"/>
      <c r="C19" s="3"/>
      <c r="D19" s="3"/>
      <c r="E19" s="3"/>
      <c r="F19" s="3"/>
      <c r="G19" s="4"/>
      <c r="I19" s="176"/>
      <c r="J19" s="3"/>
      <c r="K19" s="3"/>
      <c r="L19" s="3"/>
      <c r="M19" s="3"/>
      <c r="N19" s="4"/>
    </row>
    <row r="20" spans="2:14" ht="18" customHeight="1">
      <c r="B20" s="449" t="s">
        <v>386</v>
      </c>
      <c r="C20" s="405"/>
      <c r="D20" s="405"/>
      <c r="E20" s="405"/>
      <c r="F20" s="405"/>
      <c r="G20" s="418"/>
      <c r="I20" s="449" t="s">
        <v>386</v>
      </c>
      <c r="J20" s="405"/>
      <c r="K20" s="405"/>
      <c r="L20" s="405"/>
      <c r="M20" s="405"/>
      <c r="N20" s="418"/>
    </row>
  </sheetData>
  <mergeCells count="6">
    <mergeCell ref="B16:G16"/>
    <mergeCell ref="B20:G20"/>
    <mergeCell ref="B3:N3"/>
    <mergeCell ref="B2:N2"/>
    <mergeCell ref="I20:N20"/>
    <mergeCell ref="I16:N16"/>
  </mergeCells>
  <conditionalFormatting sqref="H8:H13">
    <cfRule type="cellIs" dxfId="19" priority="1" operator="between">
      <formula>80</formula>
      <formula>125</formula>
    </cfRule>
    <cfRule type="cellIs" dxfId="18" priority="2" operator="between">
      <formula>40</formula>
      <formula>79</formula>
    </cfRule>
    <cfRule type="cellIs" dxfId="17" priority="3" operator="between">
      <formula>20</formula>
      <formula>39</formula>
    </cfRule>
    <cfRule type="cellIs" dxfId="16" priority="4" operator="between">
      <formula>10</formula>
      <formula>19</formula>
    </cfRule>
    <cfRule type="cellIs" dxfId="15" priority="5" operator="between">
      <formula>1</formula>
      <formula>9</formula>
    </cfRule>
  </conditionalFormatting>
  <conditionalFormatting sqref="I8:I13">
    <cfRule type="expression" dxfId="14" priority="6">
      <formula>EXACT(I8,"SANGAT TINGGI")</formula>
    </cfRule>
    <cfRule type="expression" dxfId="13" priority="7">
      <formula>EXACT(I8,"TINGGI")</formula>
    </cfRule>
    <cfRule type="expression" dxfId="12" priority="8">
      <formula>EXACT(I8,"SEDANG")</formula>
    </cfRule>
    <cfRule type="expression" dxfId="11" priority="9">
      <formula>EXACT(I8,"RENDAH")</formula>
    </cfRule>
    <cfRule type="expression" dxfId="10" priority="10">
      <formula>EXACT(I8,"SANGAT RENDAH")</formula>
    </cfRule>
  </conditionalFormatting>
  <dataValidations count="2">
    <dataValidation type="list" allowBlank="1" sqref="E8:G13">
      <formula1>"1,2,3,4,5"</formula1>
    </dataValidation>
    <dataValidation type="list" allowBlank="1" sqref="N8:N13">
      <formula1>"Belum dimulai,Dalam proses,Selesai,Dipantau"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B2:N19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8.81640625" defaultRowHeight="14.5"/>
  <cols>
    <col min="1" max="1" width="2" customWidth="1"/>
    <col min="2" max="2" width="4" customWidth="1"/>
    <col min="3" max="3" width="22" customWidth="1"/>
    <col min="4" max="4" width="34" customWidth="1"/>
    <col min="5" max="7" width="5" customWidth="1"/>
    <col min="8" max="8" width="7" customWidth="1"/>
    <col min="9" max="9" width="13" customWidth="1"/>
    <col min="10" max="11" width="30" customWidth="1"/>
    <col min="12" max="12" width="18" customWidth="1"/>
    <col min="13" max="13" width="16" customWidth="1"/>
    <col min="14" max="14" width="14" customWidth="1"/>
    <col min="15" max="15" width="2" customWidth="1"/>
  </cols>
  <sheetData>
    <row r="2" spans="2:14" ht="22" customHeight="1">
      <c r="B2" s="448" t="s">
        <v>396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2:14" ht="18" customHeight="1">
      <c r="B3" s="438" t="s">
        <v>376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2:14" ht="8" customHeight="1"/>
    <row r="5" spans="2:14" ht="20" customHeight="1">
      <c r="B5" s="157" t="s">
        <v>377</v>
      </c>
      <c r="C5" s="158"/>
      <c r="D5" s="158"/>
      <c r="E5" s="159" t="s">
        <v>378</v>
      </c>
      <c r="F5" s="158"/>
      <c r="G5" s="158"/>
      <c r="H5" s="158"/>
      <c r="I5" s="159" t="s">
        <v>379</v>
      </c>
      <c r="J5" s="158"/>
      <c r="K5" s="158"/>
      <c r="L5" s="158"/>
      <c r="M5" s="158"/>
      <c r="N5" s="160"/>
    </row>
    <row r="7" spans="2:14" ht="50" customHeight="1">
      <c r="B7" s="303" t="s">
        <v>116</v>
      </c>
      <c r="C7" s="304" t="s">
        <v>380</v>
      </c>
      <c r="D7" s="304" t="s">
        <v>381</v>
      </c>
      <c r="E7" s="304" t="s">
        <v>121</v>
      </c>
      <c r="F7" s="304" t="s">
        <v>122</v>
      </c>
      <c r="G7" s="304" t="s">
        <v>123</v>
      </c>
      <c r="H7" s="304" t="s">
        <v>124</v>
      </c>
      <c r="I7" s="304" t="s">
        <v>125</v>
      </c>
      <c r="J7" s="304" t="s">
        <v>126</v>
      </c>
      <c r="K7" s="304" t="s">
        <v>127</v>
      </c>
      <c r="L7" s="304" t="s">
        <v>128</v>
      </c>
      <c r="M7" s="304" t="s">
        <v>382</v>
      </c>
      <c r="N7" s="305" t="s">
        <v>383</v>
      </c>
    </row>
    <row r="8" spans="2:14" ht="72" customHeight="1">
      <c r="B8" s="306" t="s">
        <v>131</v>
      </c>
      <c r="C8" s="144" t="s">
        <v>360</v>
      </c>
      <c r="D8" s="143" t="s">
        <v>361</v>
      </c>
      <c r="E8" s="145">
        <v>3</v>
      </c>
      <c r="F8" s="145">
        <v>4</v>
      </c>
      <c r="G8" s="145">
        <v>2</v>
      </c>
      <c r="H8" s="146">
        <f>E8*F8*G8</f>
        <v>24</v>
      </c>
      <c r="I8" s="147" t="str">
        <f>IF(H8="","",IF(H8&gt;=80,"SANGAT TINGGI",IF(H8&gt;=40,"TINGGI",IF(H8&gt;=20,"SEDANG",IF(H8&gt;=10,"RENDAH","SANGAT RENDAH")))))</f>
        <v>SEDANG</v>
      </c>
      <c r="J8" s="143" t="s">
        <v>362</v>
      </c>
      <c r="K8" s="143" t="s">
        <v>363</v>
      </c>
      <c r="L8" s="143" t="s">
        <v>364</v>
      </c>
      <c r="M8" s="145"/>
      <c r="N8" s="307" t="s">
        <v>137</v>
      </c>
    </row>
    <row r="9" spans="2:14" ht="72" customHeight="1">
      <c r="B9" s="308" t="s">
        <v>138</v>
      </c>
      <c r="C9" s="80" t="s">
        <v>366</v>
      </c>
      <c r="D9" s="79" t="s">
        <v>367</v>
      </c>
      <c r="E9" s="81">
        <v>3</v>
      </c>
      <c r="F9" s="81">
        <v>4</v>
      </c>
      <c r="G9" s="81">
        <v>3</v>
      </c>
      <c r="H9" s="82">
        <f>E9*F9*G9</f>
        <v>36</v>
      </c>
      <c r="I9" s="83" t="str">
        <f>IF(H9="","",IF(H9&gt;=80,"SANGAT TINGGI",IF(H9&gt;=40,"TINGGI",IF(H9&gt;=20,"SEDANG",IF(H9&gt;=10,"RENDAH","SANGAT RENDAH")))))</f>
        <v>SEDANG</v>
      </c>
      <c r="J9" s="79" t="s">
        <v>368</v>
      </c>
      <c r="K9" s="79" t="s">
        <v>369</v>
      </c>
      <c r="L9" s="79" t="s">
        <v>364</v>
      </c>
      <c r="M9" s="81"/>
      <c r="N9" s="309" t="s">
        <v>137</v>
      </c>
    </row>
    <row r="10" spans="2:14" ht="72" customHeight="1">
      <c r="B10" s="306" t="s">
        <v>144</v>
      </c>
      <c r="C10" s="144" t="s">
        <v>371</v>
      </c>
      <c r="D10" s="143" t="s">
        <v>372</v>
      </c>
      <c r="E10" s="145">
        <v>2</v>
      </c>
      <c r="F10" s="145">
        <v>4</v>
      </c>
      <c r="G10" s="145">
        <v>3</v>
      </c>
      <c r="H10" s="146">
        <f>E10*F10*G10</f>
        <v>24</v>
      </c>
      <c r="I10" s="147" t="str">
        <f>IF(H10="","",IF(H10&gt;=80,"SANGAT TINGGI",IF(H10&gt;=40,"TINGGI",IF(H10&gt;=20,"SEDANG",IF(H10&gt;=10,"RENDAH","SANGAT RENDAH")))))</f>
        <v>SEDANG</v>
      </c>
      <c r="J10" s="143" t="s">
        <v>373</v>
      </c>
      <c r="K10" s="143" t="s">
        <v>374</v>
      </c>
      <c r="L10" s="143" t="s">
        <v>364</v>
      </c>
      <c r="M10" s="145"/>
      <c r="N10" s="307" t="s">
        <v>137</v>
      </c>
    </row>
    <row r="11" spans="2:14" ht="50" customHeight="1">
      <c r="B11" s="310"/>
      <c r="C11" s="169"/>
      <c r="D11" s="169"/>
      <c r="E11" s="169"/>
      <c r="F11" s="169"/>
      <c r="G11" s="169"/>
      <c r="H11" s="82" t="str">
        <f>IF(AND(E11&lt;&gt;"",F11&lt;&gt;"",G11&lt;&gt;""),E11*F11*G11,"")</f>
        <v/>
      </c>
      <c r="I11" s="83" t="str">
        <f>IF(H11="","",IF(H11&gt;=80,"SANGAT TINGGI",IF(H11&gt;=40,"TINGGI",IF(H11&gt;=20,"SEDANG",IF(H11&gt;=10,"RENDAH","SANGAT RENDAH")))))</f>
        <v/>
      </c>
      <c r="J11" s="169"/>
      <c r="K11" s="169"/>
      <c r="L11" s="169"/>
      <c r="M11" s="169"/>
      <c r="N11" s="311"/>
    </row>
    <row r="12" spans="2:14" ht="50" customHeight="1">
      <c r="B12" s="312"/>
      <c r="C12" s="313"/>
      <c r="D12" s="313"/>
      <c r="E12" s="313"/>
      <c r="F12" s="313"/>
      <c r="G12" s="313"/>
      <c r="H12" s="314" t="str">
        <f>IF(AND(E12&lt;&gt;"",F12&lt;&gt;"",G12&lt;&gt;""),E12*F12*G12,"")</f>
        <v/>
      </c>
      <c r="I12" s="315" t="str">
        <f>IF(H12="","",IF(H12&gt;=80,"SANGAT TINGGI",IF(H12&gt;=40,"TINGGI",IF(H12&gt;=20,"SEDANG",IF(H12&gt;=10,"RENDAH","SANGAT RENDAH")))))</f>
        <v/>
      </c>
      <c r="J12" s="313"/>
      <c r="K12" s="313"/>
      <c r="L12" s="313"/>
      <c r="M12" s="313"/>
      <c r="N12" s="316"/>
    </row>
    <row r="15" spans="2:14" ht="18" customHeight="1">
      <c r="B15" s="450" t="s">
        <v>384</v>
      </c>
      <c r="C15" s="409"/>
      <c r="D15" s="409"/>
      <c r="E15" s="409"/>
      <c r="F15" s="409"/>
      <c r="G15" s="411"/>
      <c r="I15" s="450" t="s">
        <v>385</v>
      </c>
      <c r="J15" s="409"/>
      <c r="K15" s="409"/>
      <c r="L15" s="409"/>
      <c r="M15" s="409"/>
      <c r="N15" s="411"/>
    </row>
    <row r="16" spans="2:14">
      <c r="B16" s="176"/>
      <c r="C16" s="3"/>
      <c r="D16" s="3"/>
      <c r="E16" s="3"/>
      <c r="F16" s="3"/>
      <c r="G16" s="4"/>
      <c r="I16" s="176"/>
      <c r="J16" s="3"/>
      <c r="K16" s="3"/>
      <c r="L16" s="3"/>
      <c r="M16" s="3"/>
      <c r="N16" s="4"/>
    </row>
    <row r="17" spans="2:14">
      <c r="B17" s="176"/>
      <c r="C17" s="3"/>
      <c r="D17" s="3"/>
      <c r="E17" s="3"/>
      <c r="F17" s="3"/>
      <c r="G17" s="4"/>
      <c r="I17" s="176"/>
      <c r="J17" s="3"/>
      <c r="K17" s="3"/>
      <c r="L17" s="3"/>
      <c r="M17" s="3"/>
      <c r="N17" s="4"/>
    </row>
    <row r="18" spans="2:14">
      <c r="B18" s="176"/>
      <c r="C18" s="3"/>
      <c r="D18" s="3"/>
      <c r="E18" s="3"/>
      <c r="F18" s="3"/>
      <c r="G18" s="4"/>
      <c r="I18" s="176"/>
      <c r="J18" s="3"/>
      <c r="K18" s="3"/>
      <c r="L18" s="3"/>
      <c r="M18" s="3"/>
      <c r="N18" s="4"/>
    </row>
    <row r="19" spans="2:14" ht="18" customHeight="1">
      <c r="B19" s="449" t="s">
        <v>386</v>
      </c>
      <c r="C19" s="405"/>
      <c r="D19" s="405"/>
      <c r="E19" s="405"/>
      <c r="F19" s="405"/>
      <c r="G19" s="418"/>
      <c r="I19" s="449" t="s">
        <v>386</v>
      </c>
      <c r="J19" s="405"/>
      <c r="K19" s="405"/>
      <c r="L19" s="405"/>
      <c r="M19" s="405"/>
      <c r="N19" s="418"/>
    </row>
  </sheetData>
  <mergeCells count="6">
    <mergeCell ref="I15:N15"/>
    <mergeCell ref="B19:G19"/>
    <mergeCell ref="I19:N19"/>
    <mergeCell ref="B3:N3"/>
    <mergeCell ref="B2:N2"/>
    <mergeCell ref="B15:G15"/>
  </mergeCells>
  <conditionalFormatting sqref="H8:H12">
    <cfRule type="cellIs" dxfId="9" priority="1" operator="between">
      <formula>80</formula>
      <formula>125</formula>
    </cfRule>
    <cfRule type="cellIs" dxfId="8" priority="2" operator="between">
      <formula>40</formula>
      <formula>79</formula>
    </cfRule>
    <cfRule type="cellIs" dxfId="7" priority="3" operator="between">
      <formula>20</formula>
      <formula>39</formula>
    </cfRule>
    <cfRule type="cellIs" dxfId="6" priority="4" operator="between">
      <formula>10</formula>
      <formula>19</formula>
    </cfRule>
    <cfRule type="cellIs" dxfId="5" priority="5" operator="between">
      <formula>1</formula>
      <formula>9</formula>
    </cfRule>
  </conditionalFormatting>
  <conditionalFormatting sqref="I8:I12">
    <cfRule type="expression" dxfId="4" priority="6">
      <formula>EXACT(I8,"SANGAT TINGGI")</formula>
    </cfRule>
    <cfRule type="expression" dxfId="3" priority="7">
      <formula>EXACT(I8,"TINGGI")</formula>
    </cfRule>
    <cfRule type="expression" dxfId="2" priority="8">
      <formula>EXACT(I8,"SEDANG")</formula>
    </cfRule>
    <cfRule type="expression" dxfId="1" priority="9">
      <formula>EXACT(I8,"RENDAH")</formula>
    </cfRule>
    <cfRule type="expression" dxfId="0" priority="10">
      <formula>EXACT(I8,"SANGAT RENDAH")</formula>
    </cfRule>
  </conditionalFormatting>
  <dataValidations count="2">
    <dataValidation type="list" allowBlank="1" sqref="E8:G12">
      <formula1>"1,2,3,4,5"</formula1>
    </dataValidation>
    <dataValidation type="list" allowBlank="1" sqref="N8:N12">
      <formula1>"Belum dimulai,Dalam proses,Selesai,Dipantau"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B2:I42"/>
  <sheetViews>
    <sheetView showGridLines="0" workbookViewId="0"/>
  </sheetViews>
  <sheetFormatPr defaultColWidth="8.81640625" defaultRowHeight="14.5"/>
  <cols>
    <col min="1" max="1" width="2" customWidth="1"/>
    <col min="2" max="2" width="5" customWidth="1"/>
    <col min="3" max="4" width="22" customWidth="1"/>
    <col min="5" max="5" width="36" customWidth="1"/>
    <col min="6" max="6" width="7" customWidth="1"/>
    <col min="7" max="7" width="14" customWidth="1"/>
    <col min="8" max="8" width="22" customWidth="1"/>
    <col min="9" max="9" width="18" customWidth="1"/>
    <col min="10" max="10" width="2" customWidth="1"/>
  </cols>
  <sheetData>
    <row r="2" spans="2:9" ht="24" customHeight="1">
      <c r="B2" s="447" t="s">
        <v>397</v>
      </c>
      <c r="C2" s="420"/>
      <c r="D2" s="420"/>
      <c r="E2" s="420"/>
      <c r="F2" s="420"/>
      <c r="G2" s="420"/>
      <c r="H2" s="420"/>
      <c r="I2" s="420"/>
    </row>
    <row r="3" spans="2:9" ht="18" customHeight="1">
      <c r="B3" s="438" t="s">
        <v>398</v>
      </c>
      <c r="C3" s="420"/>
      <c r="D3" s="420"/>
      <c r="E3" s="420"/>
      <c r="F3" s="420"/>
      <c r="G3" s="420"/>
      <c r="H3" s="420"/>
      <c r="I3" s="420"/>
    </row>
    <row r="4" spans="2:9" ht="8" customHeight="1"/>
    <row r="5" spans="2:9" ht="22" customHeight="1">
      <c r="B5" s="433" t="s">
        <v>399</v>
      </c>
      <c r="C5" s="420"/>
      <c r="D5" s="420"/>
      <c r="E5" s="420"/>
      <c r="F5" s="420"/>
      <c r="G5" s="420"/>
      <c r="H5" s="420"/>
      <c r="I5" s="420"/>
    </row>
    <row r="6" spans="2:9" ht="40" customHeight="1">
      <c r="B6" s="66" t="s">
        <v>400</v>
      </c>
      <c r="C6" s="67" t="s">
        <v>118</v>
      </c>
      <c r="D6" s="67" t="s">
        <v>401</v>
      </c>
      <c r="E6" s="67" t="s">
        <v>402</v>
      </c>
      <c r="F6" s="67" t="s">
        <v>403</v>
      </c>
      <c r="G6" s="67" t="s">
        <v>404</v>
      </c>
      <c r="H6" s="67" t="s">
        <v>405</v>
      </c>
      <c r="I6" s="68" t="s">
        <v>406</v>
      </c>
    </row>
    <row r="7" spans="2:9" ht="22" customHeight="1">
      <c r="B7" s="317" t="s">
        <v>89</v>
      </c>
      <c r="C7" s="318" t="s">
        <v>90</v>
      </c>
      <c r="D7" s="64">
        <v>6</v>
      </c>
      <c r="E7" s="319">
        <v>0</v>
      </c>
      <c r="F7" s="320">
        <v>4</v>
      </c>
      <c r="G7" s="321">
        <v>2</v>
      </c>
      <c r="H7" s="322">
        <v>0</v>
      </c>
      <c r="I7" s="323">
        <v>0</v>
      </c>
    </row>
    <row r="8" spans="2:9" ht="22" customHeight="1">
      <c r="B8" s="324" t="s">
        <v>92</v>
      </c>
      <c r="C8" s="325" t="s">
        <v>93</v>
      </c>
      <c r="D8" s="15">
        <v>5</v>
      </c>
      <c r="E8" s="326">
        <v>0</v>
      </c>
      <c r="F8" s="22">
        <v>3</v>
      </c>
      <c r="G8" s="327">
        <v>2</v>
      </c>
      <c r="H8" s="16">
        <v>0</v>
      </c>
      <c r="I8" s="328">
        <v>0</v>
      </c>
    </row>
    <row r="9" spans="2:9" ht="22" customHeight="1">
      <c r="B9" s="46" t="s">
        <v>95</v>
      </c>
      <c r="C9" s="47" t="s">
        <v>96</v>
      </c>
      <c r="D9" s="48">
        <v>4</v>
      </c>
      <c r="E9" s="329">
        <v>0</v>
      </c>
      <c r="F9" s="330">
        <v>2</v>
      </c>
      <c r="G9" s="331">
        <v>2</v>
      </c>
      <c r="H9" s="332">
        <v>0</v>
      </c>
      <c r="I9" s="333">
        <v>0</v>
      </c>
    </row>
    <row r="10" spans="2:9" ht="22" customHeight="1">
      <c r="B10" s="334" t="s">
        <v>98</v>
      </c>
      <c r="C10" s="335" t="s">
        <v>99</v>
      </c>
      <c r="D10" s="15">
        <v>5</v>
      </c>
      <c r="E10" s="326">
        <v>0</v>
      </c>
      <c r="F10" s="22">
        <v>0</v>
      </c>
      <c r="G10" s="327">
        <v>5</v>
      </c>
      <c r="H10" s="16">
        <v>0</v>
      </c>
      <c r="I10" s="328">
        <v>0</v>
      </c>
    </row>
    <row r="11" spans="2:9" ht="22" customHeight="1">
      <c r="B11" s="51" t="s">
        <v>100</v>
      </c>
      <c r="C11" s="52" t="s">
        <v>101</v>
      </c>
      <c r="D11" s="53">
        <v>3</v>
      </c>
      <c r="E11" s="336">
        <v>0</v>
      </c>
      <c r="F11" s="337">
        <v>0</v>
      </c>
      <c r="G11" s="338">
        <v>3</v>
      </c>
      <c r="H11" s="339">
        <v>0</v>
      </c>
      <c r="I11" s="340">
        <v>0</v>
      </c>
    </row>
    <row r="12" spans="2:9" ht="22" customHeight="1">
      <c r="B12" s="341" t="s">
        <v>103</v>
      </c>
      <c r="C12" s="342" t="s">
        <v>104</v>
      </c>
      <c r="D12" s="15">
        <v>4</v>
      </c>
      <c r="E12" s="326">
        <v>0</v>
      </c>
      <c r="F12" s="22">
        <v>1</v>
      </c>
      <c r="G12" s="327">
        <v>3</v>
      </c>
      <c r="H12" s="16">
        <v>0</v>
      </c>
      <c r="I12" s="328">
        <v>0</v>
      </c>
    </row>
    <row r="13" spans="2:9" ht="22" customHeight="1">
      <c r="B13" s="57" t="s">
        <v>105</v>
      </c>
      <c r="C13" s="58" t="s">
        <v>106</v>
      </c>
      <c r="D13" s="50">
        <v>3</v>
      </c>
      <c r="E13" s="343">
        <v>0</v>
      </c>
      <c r="F13" s="344">
        <v>2</v>
      </c>
      <c r="G13" s="345">
        <v>1</v>
      </c>
      <c r="H13" s="346">
        <v>0</v>
      </c>
      <c r="I13" s="347">
        <v>0</v>
      </c>
    </row>
    <row r="14" spans="2:9" ht="22" customHeight="1">
      <c r="B14" s="348" t="s">
        <v>107</v>
      </c>
      <c r="C14" s="349" t="s">
        <v>108</v>
      </c>
      <c r="D14" s="15">
        <v>3</v>
      </c>
      <c r="E14" s="326">
        <v>0</v>
      </c>
      <c r="F14" s="22">
        <v>0</v>
      </c>
      <c r="G14" s="327">
        <v>3</v>
      </c>
      <c r="H14" s="16">
        <v>0</v>
      </c>
      <c r="I14" s="328">
        <v>0</v>
      </c>
    </row>
    <row r="15" spans="2:9" ht="22" customHeight="1">
      <c r="B15" s="60" t="s">
        <v>109</v>
      </c>
      <c r="C15" s="61" t="s">
        <v>110</v>
      </c>
      <c r="D15" s="62">
        <v>4</v>
      </c>
      <c r="E15" s="350">
        <v>0</v>
      </c>
      <c r="F15" s="351">
        <v>2</v>
      </c>
      <c r="G15" s="352">
        <v>2</v>
      </c>
      <c r="H15" s="353">
        <v>0</v>
      </c>
      <c r="I15" s="354">
        <v>0</v>
      </c>
    </row>
    <row r="16" spans="2:9" ht="22" customHeight="1">
      <c r="B16" s="355" t="s">
        <v>111</v>
      </c>
      <c r="C16" s="356" t="s">
        <v>112</v>
      </c>
      <c r="D16" s="15">
        <v>4</v>
      </c>
      <c r="E16" s="326">
        <v>0</v>
      </c>
      <c r="F16" s="22">
        <v>0</v>
      </c>
      <c r="G16" s="327">
        <v>4</v>
      </c>
      <c r="H16" s="16">
        <v>0</v>
      </c>
      <c r="I16" s="328">
        <v>0</v>
      </c>
    </row>
    <row r="17" spans="2:9" ht="22" customHeight="1">
      <c r="B17" s="357" t="s">
        <v>113</v>
      </c>
      <c r="C17" s="358" t="s">
        <v>114</v>
      </c>
      <c r="D17" s="359">
        <v>3</v>
      </c>
      <c r="E17" s="360">
        <v>0</v>
      </c>
      <c r="F17" s="361">
        <v>0</v>
      </c>
      <c r="G17" s="362">
        <v>3</v>
      </c>
      <c r="H17" s="363">
        <v>0</v>
      </c>
      <c r="I17" s="364">
        <v>0</v>
      </c>
    </row>
    <row r="18" spans="2:9" ht="28" customHeight="1">
      <c r="B18" s="365" t="s">
        <v>407</v>
      </c>
      <c r="C18" s="366" t="s">
        <v>408</v>
      </c>
      <c r="D18" s="367">
        <v>44</v>
      </c>
      <c r="E18" s="368">
        <f>SUM(E7:E17)</f>
        <v>0</v>
      </c>
      <c r="F18" s="368">
        <f>SUM(F7:F17)</f>
        <v>14</v>
      </c>
      <c r="G18" s="368">
        <f>SUM(G7:G17)</f>
        <v>30</v>
      </c>
      <c r="H18" s="368">
        <f>SUM(H7:H17)</f>
        <v>0</v>
      </c>
      <c r="I18" s="369">
        <f>SUM(I7:I17)</f>
        <v>0</v>
      </c>
    </row>
    <row r="20" spans="2:9" ht="22" customHeight="1">
      <c r="B20" s="451" t="s">
        <v>409</v>
      </c>
      <c r="C20" s="420"/>
      <c r="D20" s="420"/>
      <c r="E20" s="420"/>
      <c r="F20" s="420"/>
      <c r="G20" s="420"/>
      <c r="H20" s="420"/>
      <c r="I20" s="420"/>
    </row>
    <row r="21" spans="2:9" ht="36" customHeight="1">
      <c r="B21" s="370" t="s">
        <v>410</v>
      </c>
      <c r="C21" s="371" t="s">
        <v>117</v>
      </c>
      <c r="D21" s="371" t="s">
        <v>411</v>
      </c>
      <c r="E21" s="371" t="s">
        <v>412</v>
      </c>
      <c r="F21" s="371" t="s">
        <v>413</v>
      </c>
      <c r="G21" s="371" t="s">
        <v>109</v>
      </c>
      <c r="H21" s="371" t="s">
        <v>414</v>
      </c>
      <c r="I21" s="372" t="s">
        <v>415</v>
      </c>
    </row>
    <row r="22" spans="2:9" ht="40" customHeight="1">
      <c r="B22" s="373" t="s">
        <v>131</v>
      </c>
      <c r="C22" s="374" t="s">
        <v>109</v>
      </c>
      <c r="D22" s="61" t="s">
        <v>323</v>
      </c>
      <c r="E22" s="375" t="s">
        <v>416</v>
      </c>
      <c r="F22" s="62" t="s">
        <v>150</v>
      </c>
      <c r="G22" s="62" t="s">
        <v>155</v>
      </c>
      <c r="H22" s="62" t="s">
        <v>144</v>
      </c>
      <c r="I22" s="376" t="s">
        <v>417</v>
      </c>
    </row>
    <row r="23" spans="2:9" ht="40" customHeight="1">
      <c r="B23" s="377" t="s">
        <v>138</v>
      </c>
      <c r="C23" s="378" t="s">
        <v>89</v>
      </c>
      <c r="D23" s="379" t="s">
        <v>132</v>
      </c>
      <c r="E23" s="380" t="s">
        <v>418</v>
      </c>
      <c r="F23" s="15" t="s">
        <v>150</v>
      </c>
      <c r="G23" s="15" t="s">
        <v>150</v>
      </c>
      <c r="H23" s="15" t="s">
        <v>144</v>
      </c>
      <c r="I23" s="381" t="s">
        <v>419</v>
      </c>
    </row>
    <row r="24" spans="2:9" ht="40" customHeight="1">
      <c r="B24" s="382" t="s">
        <v>144</v>
      </c>
      <c r="C24" s="383" t="s">
        <v>92</v>
      </c>
      <c r="D24" s="44" t="s">
        <v>191</v>
      </c>
      <c r="E24" s="384" t="s">
        <v>420</v>
      </c>
      <c r="F24" s="45" t="s">
        <v>150</v>
      </c>
      <c r="G24" s="45" t="s">
        <v>150</v>
      </c>
      <c r="H24" s="45" t="s">
        <v>144</v>
      </c>
      <c r="I24" s="385" t="s">
        <v>419</v>
      </c>
    </row>
    <row r="25" spans="2:9" ht="40" customHeight="1">
      <c r="B25" s="377" t="s">
        <v>150</v>
      </c>
      <c r="C25" s="386" t="s">
        <v>105</v>
      </c>
      <c r="D25" s="387" t="s">
        <v>285</v>
      </c>
      <c r="E25" s="380" t="s">
        <v>421</v>
      </c>
      <c r="F25" s="15" t="s">
        <v>150</v>
      </c>
      <c r="G25" s="15" t="s">
        <v>150</v>
      </c>
      <c r="H25" s="15" t="s">
        <v>144</v>
      </c>
      <c r="I25" s="381" t="s">
        <v>419</v>
      </c>
    </row>
    <row r="26" spans="2:9" ht="40" customHeight="1">
      <c r="B26" s="373" t="s">
        <v>155</v>
      </c>
      <c r="C26" s="374" t="s">
        <v>109</v>
      </c>
      <c r="D26" s="61" t="s">
        <v>318</v>
      </c>
      <c r="E26" s="375" t="s">
        <v>422</v>
      </c>
      <c r="F26" s="62" t="s">
        <v>150</v>
      </c>
      <c r="G26" s="62" t="s">
        <v>150</v>
      </c>
      <c r="H26" s="62" t="s">
        <v>144</v>
      </c>
      <c r="I26" s="376" t="s">
        <v>419</v>
      </c>
    </row>
    <row r="27" spans="2:9" ht="40" customHeight="1">
      <c r="B27" s="377" t="s">
        <v>161</v>
      </c>
      <c r="C27" s="378" t="s">
        <v>89</v>
      </c>
      <c r="D27" s="379" t="s">
        <v>145</v>
      </c>
      <c r="E27" s="380" t="s">
        <v>423</v>
      </c>
      <c r="F27" s="15" t="s">
        <v>144</v>
      </c>
      <c r="G27" s="15" t="s">
        <v>155</v>
      </c>
      <c r="H27" s="15" t="s">
        <v>144</v>
      </c>
      <c r="I27" s="381" t="s">
        <v>424</v>
      </c>
    </row>
    <row r="28" spans="2:9" ht="40" customHeight="1">
      <c r="B28" s="388" t="s">
        <v>167</v>
      </c>
      <c r="C28" s="389" t="s">
        <v>89</v>
      </c>
      <c r="D28" s="318" t="s">
        <v>151</v>
      </c>
      <c r="E28" s="390" t="s">
        <v>425</v>
      </c>
      <c r="F28" s="64" t="s">
        <v>144</v>
      </c>
      <c r="G28" s="64" t="s">
        <v>155</v>
      </c>
      <c r="H28" s="64" t="s">
        <v>144</v>
      </c>
      <c r="I28" s="391" t="s">
        <v>424</v>
      </c>
    </row>
    <row r="29" spans="2:9" ht="40" customHeight="1">
      <c r="B29" s="377" t="s">
        <v>172</v>
      </c>
      <c r="C29" s="378" t="s">
        <v>89</v>
      </c>
      <c r="D29" s="379" t="s">
        <v>162</v>
      </c>
      <c r="E29" s="380" t="s">
        <v>426</v>
      </c>
      <c r="F29" s="15" t="s">
        <v>144</v>
      </c>
      <c r="G29" s="15" t="s">
        <v>155</v>
      </c>
      <c r="H29" s="15" t="s">
        <v>144</v>
      </c>
      <c r="I29" s="381" t="s">
        <v>424</v>
      </c>
    </row>
    <row r="30" spans="2:9" ht="40" customHeight="1">
      <c r="B30" s="382" t="s">
        <v>178</v>
      </c>
      <c r="C30" s="383" t="s">
        <v>92</v>
      </c>
      <c r="D30" s="44" t="s">
        <v>179</v>
      </c>
      <c r="E30" s="384" t="s">
        <v>427</v>
      </c>
      <c r="F30" s="45" t="s">
        <v>144</v>
      </c>
      <c r="G30" s="45" t="s">
        <v>155</v>
      </c>
      <c r="H30" s="45" t="s">
        <v>144</v>
      </c>
      <c r="I30" s="385" t="s">
        <v>424</v>
      </c>
    </row>
    <row r="31" spans="2:9" ht="40" customHeight="1">
      <c r="B31" s="377" t="s">
        <v>184</v>
      </c>
      <c r="C31" s="392" t="s">
        <v>95</v>
      </c>
      <c r="D31" s="393" t="s">
        <v>197</v>
      </c>
      <c r="E31" s="380" t="s">
        <v>428</v>
      </c>
      <c r="F31" s="15" t="s">
        <v>144</v>
      </c>
      <c r="G31" s="15" t="s">
        <v>155</v>
      </c>
      <c r="H31" s="15" t="s">
        <v>144</v>
      </c>
      <c r="I31" s="381" t="s">
        <v>424</v>
      </c>
    </row>
    <row r="32" spans="2:9" ht="40" customHeight="1">
      <c r="B32" s="394" t="s">
        <v>190</v>
      </c>
      <c r="C32" s="395" t="s">
        <v>103</v>
      </c>
      <c r="D32" s="55" t="s">
        <v>280</v>
      </c>
      <c r="E32" s="396" t="s">
        <v>429</v>
      </c>
      <c r="F32" s="56" t="s">
        <v>144</v>
      </c>
      <c r="G32" s="56" t="s">
        <v>155</v>
      </c>
      <c r="H32" s="56" t="s">
        <v>144</v>
      </c>
      <c r="I32" s="397" t="s">
        <v>424</v>
      </c>
    </row>
    <row r="33" spans="2:9" ht="40" customHeight="1">
      <c r="B33" s="377" t="s">
        <v>196</v>
      </c>
      <c r="C33" s="386" t="s">
        <v>105</v>
      </c>
      <c r="D33" s="387" t="s">
        <v>291</v>
      </c>
      <c r="E33" s="380" t="s">
        <v>430</v>
      </c>
      <c r="F33" s="15" t="s">
        <v>144</v>
      </c>
      <c r="G33" s="15" t="s">
        <v>155</v>
      </c>
      <c r="H33" s="15" t="s">
        <v>144</v>
      </c>
      <c r="I33" s="381" t="s">
        <v>424</v>
      </c>
    </row>
    <row r="34" spans="2:9" ht="40" customHeight="1">
      <c r="B34" s="382" t="s">
        <v>202</v>
      </c>
      <c r="C34" s="383" t="s">
        <v>92</v>
      </c>
      <c r="D34" s="44" t="s">
        <v>168</v>
      </c>
      <c r="E34" s="384" t="s">
        <v>431</v>
      </c>
      <c r="F34" s="45" t="s">
        <v>150</v>
      </c>
      <c r="G34" s="45" t="s">
        <v>155</v>
      </c>
      <c r="H34" s="45" t="s">
        <v>138</v>
      </c>
      <c r="I34" s="385" t="s">
        <v>349</v>
      </c>
    </row>
    <row r="35" spans="2:9" ht="40" customHeight="1">
      <c r="B35" s="398" t="s">
        <v>208</v>
      </c>
      <c r="C35" s="399" t="s">
        <v>95</v>
      </c>
      <c r="D35" s="400" t="s">
        <v>203</v>
      </c>
      <c r="E35" s="401" t="s">
        <v>432</v>
      </c>
      <c r="F35" s="402" t="s">
        <v>138</v>
      </c>
      <c r="G35" s="402" t="s">
        <v>155</v>
      </c>
      <c r="H35" s="402" t="s">
        <v>150</v>
      </c>
      <c r="I35" s="403" t="s">
        <v>349</v>
      </c>
    </row>
    <row r="38" spans="2:9" ht="18" customHeight="1">
      <c r="B38" s="450" t="s">
        <v>433</v>
      </c>
      <c r="C38" s="409"/>
      <c r="D38" s="409"/>
      <c r="E38" s="411"/>
      <c r="F38" s="450" t="s">
        <v>434</v>
      </c>
      <c r="G38" s="409"/>
      <c r="H38" s="409"/>
      <c r="I38" s="411"/>
    </row>
    <row r="39" spans="2:9">
      <c r="B39" s="176"/>
      <c r="C39" s="3"/>
      <c r="D39" s="3"/>
      <c r="E39" s="4"/>
      <c r="F39" s="176"/>
      <c r="G39" s="3"/>
      <c r="H39" s="3"/>
      <c r="I39" s="4"/>
    </row>
    <row r="40" spans="2:9">
      <c r="B40" s="176"/>
      <c r="C40" s="3"/>
      <c r="D40" s="3"/>
      <c r="E40" s="4"/>
      <c r="F40" s="176"/>
      <c r="G40" s="3"/>
      <c r="H40" s="3"/>
      <c r="I40" s="4"/>
    </row>
    <row r="41" spans="2:9">
      <c r="B41" s="176"/>
      <c r="C41" s="3"/>
      <c r="D41" s="3"/>
      <c r="E41" s="4"/>
      <c r="F41" s="176"/>
      <c r="G41" s="3"/>
      <c r="H41" s="3"/>
      <c r="I41" s="4"/>
    </row>
    <row r="42" spans="2:9" ht="18" customHeight="1">
      <c r="B42" s="449" t="s">
        <v>386</v>
      </c>
      <c r="C42" s="405"/>
      <c r="D42" s="405"/>
      <c r="E42" s="418"/>
      <c r="F42" s="449" t="s">
        <v>386</v>
      </c>
      <c r="G42" s="405"/>
      <c r="H42" s="405"/>
      <c r="I42" s="418"/>
    </row>
  </sheetData>
  <mergeCells count="8">
    <mergeCell ref="B42:E42"/>
    <mergeCell ref="F42:I42"/>
    <mergeCell ref="B2:I2"/>
    <mergeCell ref="B20:I20"/>
    <mergeCell ref="B38:E38"/>
    <mergeCell ref="B3:I3"/>
    <mergeCell ref="B5:I5"/>
    <mergeCell ref="F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1-COVER &amp; PANDUAN</vt:lpstr>
      <vt:lpstr>2-ICRA MASTER</vt:lpstr>
      <vt:lpstr>3-A a) Surveilans Infeks</vt:lpstr>
      <vt:lpstr>4-B b) Area Berisiko Tin</vt:lpstr>
      <vt:lpstr>5-C c) Peralatan Berisik</vt:lpstr>
      <vt:lpstr>6-D d) Prosedur  Tindak</vt:lpstr>
      <vt:lpstr>7-E e) Distribusi Linen </vt:lpstr>
      <vt:lpstr>8-F f) Pelayanan Sterili</vt:lpstr>
      <vt:lpstr>9-G g) Kebersihan Permuk</vt:lpstr>
      <vt:lpstr>10-H h) Pengelolaan Linen</vt:lpstr>
      <vt:lpstr>11-I i) Pengelolaan Sampa</vt:lpstr>
      <vt:lpstr>12-J j) Penyediaan Makana</vt:lpstr>
      <vt:lpstr>13-K k) Pengelolaan Kamar</vt:lpstr>
      <vt:lpstr>14-REKAP &amp; PRIORITAS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2026-03-11T02:22:09Z</dcterms:created>
  <dcterms:modified xsi:type="dcterms:W3CDTF">2026-10-15T05:01:20Z</dcterms:modified>
</cp:coreProperties>
</file>